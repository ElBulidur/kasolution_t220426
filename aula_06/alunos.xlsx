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filterPrivacy="1" codeName="ThisWorkbook" hidePivotFieldList="1"/>
  <xr:revisionPtr revIDLastSave="0" documentId="8_{C816E467-990F-4D12-9B65-2C02151E0252}" xr6:coauthVersionLast="47" xr6:coauthVersionMax="47" xr10:uidLastSave="{00000000-0000-0000-0000-000000000000}"/>
  <bookViews>
    <workbookView xWindow="-120" yWindow="-120" windowWidth="29040" windowHeight="17640" tabRatio="783" xr2:uid="{00000000-000D-0000-FFFF-FFFF00000000}"/>
  </bookViews>
  <sheets>
    <sheet name="Lista de aulas" sheetId="1" r:id="rId1"/>
    <sheet name="Prazos" sheetId="2" r:id="rId2"/>
    <sheet name="Cronograma semanal" sheetId="7" r:id="rId3"/>
    <sheet name="Calendário semestral" sheetId="3" r:id="rId4"/>
  </sheets>
  <definedNames>
    <definedName name="_xlnm.Print_Area" localSheetId="3">'Calendário semestral'!$A$1:$R$17</definedName>
    <definedName name="_xlnm.Print_Area" localSheetId="2">'Cronograma semanal'!$A$1:$E$9</definedName>
    <definedName name="_xlnm.Print_Area" localSheetId="0">'Lista de aulas'!$A$1:$K$9</definedName>
    <definedName name="_xlnm.Print_Area" localSheetId="1">Prazos!$A$1:$H$9</definedName>
    <definedName name="Área_Impressão_Calendário">'Cronograma semanal'!$B$2:$D$9</definedName>
    <definedName name="ColumnTitleRegion1..H9.4">'Calendário semestral'!$B$3</definedName>
    <definedName name="ColumnTitleRegion2..P9.4">'Calendário semestral'!$J$3</definedName>
    <definedName name="ColumnTitleRegion3..H17.4">'Calendário semestral'!$B$11</definedName>
    <definedName name="ColumnTitleRegion4..P17.4">'Calendário semestral'!$J$11</definedName>
    <definedName name="ColumnTitleRegion5..R4.4">'Calendário semestral'!$R$3</definedName>
    <definedName name="ColumnTitleRegion6..R6.4">'Calendário semestral'!$R$5</definedName>
    <definedName name="ColumnTitleRegion7..R8.4">'Calendário semestral'!$R$7</definedName>
    <definedName name="CronogramaAno">'Calendário semestral'!$R$4</definedName>
    <definedName name="CronogramaSemestre">'Calendário semestral'!$R$2</definedName>
    <definedName name="DiasdaSemana">ClassListTable[DIA]</definedName>
    <definedName name="FimCronograma">'Calendário semestral'!$R$8</definedName>
    <definedName name="InícioCronograma">'Calendário semestral'!$R$6</definedName>
    <definedName name="ListaDeAulas">ClassListTable[ID DO CURSO]</definedName>
    <definedName name="Título1">ClassListTable[[#Headers],[ID DO CURSO]]</definedName>
    <definedName name="Título2">Trabalho[[#Headers],[ID DO CURSO]]</definedName>
    <definedName name="Título3">'Cronograma semanal'!$B$2</definedName>
    <definedName name="_xlnm.Print_Titles" localSheetId="2">'Cronograma semanal'!$2:$2</definedName>
    <definedName name="_xlnm.Print_Titles" localSheetId="0">'Lista de aulas'!$2:$2</definedName>
    <definedName name="_xlnm.Print_Titles" localSheetId="1">Prazos!$2:$2</definedName>
  </definedNames>
  <calcPr calcId="191028"/>
  <pivotCaches>
    <pivotCache cacheId="2009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2" l="1"/>
  <c r="C5" i="2"/>
  <c r="C6" i="2"/>
  <c r="C7" i="2"/>
  <c r="C8" i="2"/>
  <c r="C9" i="2"/>
  <c r="C3" i="2"/>
  <c r="J4" i="1"/>
  <c r="J5" i="1"/>
  <c r="J6" i="1"/>
  <c r="J7" i="1"/>
  <c r="J8" i="1"/>
  <c r="J9" i="1"/>
  <c r="J3" i="1"/>
  <c r="R6" i="3" l="1"/>
  <c r="M10" i="3" l="1"/>
  <c r="L10" i="3"/>
  <c r="E10" i="3"/>
  <c r="D10" i="3"/>
  <c r="M2" i="3"/>
  <c r="L2" i="3"/>
  <c r="D2" i="3"/>
  <c r="E2" i="3"/>
  <c r="R8" i="3"/>
  <c r="G6" i="2"/>
  <c r="G5" i="2"/>
  <c r="R4" i="3"/>
  <c r="G8" i="2"/>
  <c r="G7" i="2"/>
  <c r="J12" i="3" l="1"/>
  <c r="K12" i="3" s="1"/>
  <c r="L12" i="3" s="1"/>
  <c r="M12" i="3" s="1"/>
  <c r="N12" i="3" s="1"/>
  <c r="O12" i="3" s="1"/>
  <c r="P12" i="3" s="1"/>
  <c r="B12" i="3"/>
  <c r="C12" i="3" s="1"/>
  <c r="D12" i="3" s="1"/>
  <c r="E12" i="3" s="1"/>
  <c r="F12" i="3" s="1"/>
  <c r="G12" i="3" s="1"/>
  <c r="H12" i="3" s="1"/>
  <c r="J4" i="3"/>
  <c r="K4" i="3" s="1"/>
  <c r="L4" i="3" s="1"/>
  <c r="M4" i="3" s="1"/>
  <c r="N4" i="3" s="1"/>
  <c r="O4" i="3" s="1"/>
  <c r="P4" i="3" s="1"/>
  <c r="B4" i="3"/>
  <c r="C4" i="3" s="1"/>
  <c r="D4" i="3" s="1"/>
  <c r="E4" i="3" s="1"/>
  <c r="F4" i="3" s="1"/>
  <c r="G4" i="3" s="1"/>
  <c r="H4" i="3" s="1"/>
  <c r="G9" i="2"/>
  <c r="G4" i="2"/>
  <c r="G3" i="2" l="1"/>
  <c r="D4" i="2"/>
  <c r="D5" i="2"/>
  <c r="D6" i="2"/>
  <c r="D7" i="2"/>
  <c r="D8" i="2"/>
  <c r="D9" i="2"/>
  <c r="D3" i="2"/>
  <c r="F4" i="1"/>
  <c r="F5" i="1"/>
  <c r="F6" i="1"/>
  <c r="F7" i="1"/>
  <c r="F8" i="1"/>
  <c r="F9" i="1"/>
  <c r="F3" i="1"/>
  <c r="J2" i="3" l="1"/>
  <c r="J10" i="3" l="1"/>
  <c r="B10" i="3"/>
  <c r="B2" i="3"/>
  <c r="J13" i="3" l="1"/>
  <c r="J5" i="3"/>
  <c r="B5" i="3" l="1"/>
  <c r="K13" i="3"/>
  <c r="K5" i="3"/>
  <c r="B13" i="3"/>
  <c r="C13" i="3" l="1"/>
  <c r="C5" i="3"/>
  <c r="L5" i="3"/>
  <c r="L13" i="3"/>
  <c r="M13" i="3" l="1"/>
  <c r="M5" i="3"/>
  <c r="D5" i="3"/>
  <c r="D13" i="3"/>
  <c r="E13" i="3" l="1"/>
  <c r="E5" i="3"/>
  <c r="N5" i="3"/>
  <c r="N13" i="3"/>
  <c r="O13" i="3" l="1"/>
  <c r="O5" i="3"/>
  <c r="F5" i="3"/>
  <c r="F13" i="3"/>
  <c r="G13" i="3" l="1"/>
  <c r="G5" i="3"/>
  <c r="P5" i="3"/>
  <c r="P13" i="3"/>
  <c r="J14" i="3" l="1"/>
  <c r="K14" i="3" s="1"/>
  <c r="L14" i="3" s="1"/>
  <c r="M14" i="3" s="1"/>
  <c r="N14" i="3" s="1"/>
  <c r="O14" i="3" s="1"/>
  <c r="P14" i="3" s="1"/>
  <c r="J15" i="3" s="1"/>
  <c r="K15" i="3" s="1"/>
  <c r="L15" i="3" s="1"/>
  <c r="M15" i="3" s="1"/>
  <c r="N15" i="3" s="1"/>
  <c r="O15" i="3" s="1"/>
  <c r="P15" i="3" s="1"/>
  <c r="J6" i="3"/>
  <c r="K6" i="3" s="1"/>
  <c r="L6" i="3" s="1"/>
  <c r="M6" i="3" s="1"/>
  <c r="N6" i="3" s="1"/>
  <c r="O6" i="3" s="1"/>
  <c r="P6" i="3" s="1"/>
  <c r="J7" i="3" s="1"/>
  <c r="K7" i="3" s="1"/>
  <c r="L7" i="3" s="1"/>
  <c r="M7" i="3" s="1"/>
  <c r="N7" i="3" s="1"/>
  <c r="O7" i="3" s="1"/>
  <c r="P7" i="3" s="1"/>
  <c r="H5" i="3"/>
  <c r="H13" i="3"/>
  <c r="J16" i="3" l="1"/>
  <c r="J8" i="3"/>
  <c r="K8" i="3" s="1"/>
  <c r="B14" i="3"/>
  <c r="C14" i="3" s="1"/>
  <c r="D14" i="3" s="1"/>
  <c r="E14" i="3" s="1"/>
  <c r="F14" i="3" s="1"/>
  <c r="G14" i="3" s="1"/>
  <c r="H14" i="3" s="1"/>
  <c r="B15" i="3" s="1"/>
  <c r="C15" i="3" s="1"/>
  <c r="D15" i="3" s="1"/>
  <c r="E15" i="3" s="1"/>
  <c r="F15" i="3" s="1"/>
  <c r="G15" i="3" s="1"/>
  <c r="H15" i="3" s="1"/>
  <c r="B6" i="3"/>
  <c r="C6" i="3" s="1"/>
  <c r="D6" i="3" s="1"/>
  <c r="E6" i="3" s="1"/>
  <c r="F6" i="3" s="1"/>
  <c r="G6" i="3" s="1"/>
  <c r="H6" i="3" s="1"/>
  <c r="B7" i="3" s="1"/>
  <c r="C7" i="3" s="1"/>
  <c r="D7" i="3" s="1"/>
  <c r="E7" i="3" s="1"/>
  <c r="F7" i="3" s="1"/>
  <c r="G7" i="3" s="1"/>
  <c r="H7" i="3" s="1"/>
  <c r="B8" i="3" s="1"/>
  <c r="C8" i="3" s="1"/>
  <c r="D8" i="3" s="1"/>
  <c r="E8" i="3" s="1"/>
  <c r="F8" i="3" s="1"/>
  <c r="G8" i="3" s="1"/>
  <c r="H8" i="3" s="1"/>
  <c r="B9" i="3" s="1"/>
  <c r="C9" i="3" s="1"/>
  <c r="D9" i="3" s="1"/>
  <c r="E9" i="3" s="1"/>
  <c r="F9" i="3" s="1"/>
  <c r="G9" i="3" s="1"/>
  <c r="H9" i="3" s="1"/>
  <c r="K16" i="3" l="1"/>
  <c r="B16" i="3"/>
  <c r="C16" i="3" s="1"/>
  <c r="D16" i="3" s="1"/>
  <c r="E16" i="3" s="1"/>
  <c r="F16" i="3" s="1"/>
  <c r="G16" i="3" s="1"/>
  <c r="H16" i="3" s="1"/>
  <c r="B17" i="3" s="1"/>
  <c r="C17" i="3" s="1"/>
  <c r="D17" i="3" s="1"/>
  <c r="E17" i="3" s="1"/>
  <c r="F17" i="3" s="1"/>
  <c r="G17" i="3" s="1"/>
  <c r="H17" i="3" s="1"/>
  <c r="L8" i="3"/>
  <c r="L16" i="3" l="1"/>
  <c r="M16" i="3" s="1"/>
  <c r="N16" i="3" s="1"/>
  <c r="O16" i="3" s="1"/>
  <c r="P16" i="3" s="1"/>
  <c r="M8" i="3"/>
  <c r="J17" i="3" l="1"/>
  <c r="N8" i="3"/>
  <c r="K17" i="3" l="1"/>
  <c r="L17" i="3" s="1"/>
  <c r="M17" i="3" s="1"/>
  <c r="N17" i="3" s="1"/>
  <c r="O17" i="3" s="1"/>
  <c r="P17" i="3" s="1"/>
  <c r="O8" i="3"/>
  <c r="P8" i="3" l="1"/>
  <c r="J9" i="3" l="1"/>
  <c r="K9" i="3" l="1"/>
  <c r="L9" i="3" l="1"/>
  <c r="M9" i="3" l="1"/>
  <c r="N9" i="3" l="1"/>
  <c r="O9" i="3" l="1"/>
  <c r="P9" i="3" s="1"/>
</calcChain>
</file>

<file path=xl/sharedStrings.xml><?xml version="1.0" encoding="utf-8"?>
<sst xmlns="http://schemas.openxmlformats.org/spreadsheetml/2006/main" count="123" uniqueCount="49">
  <si>
    <t>LISTA DE AULAS</t>
  </si>
  <si>
    <t>ID DO CURSO</t>
  </si>
  <si>
    <t>NOME</t>
  </si>
  <si>
    <t>INSTRUTOR</t>
  </si>
  <si>
    <t>DIA</t>
  </si>
  <si>
    <t>ANO</t>
  </si>
  <si>
    <t>SEMESTRE</t>
  </si>
  <si>
    <t>INÍCIO</t>
  </si>
  <si>
    <t>TÉRMINO</t>
  </si>
  <si>
    <t>DURAÇÃO</t>
  </si>
  <si>
    <t>CS 120</t>
  </si>
  <si>
    <t>Introdução a Aplicativos de Computador</t>
  </si>
  <si>
    <t>Instrutor 1</t>
  </si>
  <si>
    <t>Segunda-feira</t>
  </si>
  <si>
    <t>Primavera</t>
  </si>
  <si>
    <t>Quarta-feira</t>
  </si>
  <si>
    <t>WR 121</t>
  </si>
  <si>
    <t>Composição Escrita</t>
  </si>
  <si>
    <t>Instrutor 2</t>
  </si>
  <si>
    <t>Terça-feira</t>
  </si>
  <si>
    <t>Quinta</t>
  </si>
  <si>
    <t>SP 111</t>
  </si>
  <si>
    <t>Oratória</t>
  </si>
  <si>
    <t>Instrutor 3</t>
  </si>
  <si>
    <t>Segunda</t>
  </si>
  <si>
    <t>Quarta</t>
  </si>
  <si>
    <t>PSY 101</t>
  </si>
  <si>
    <t>Psicologia Básica</t>
  </si>
  <si>
    <t>Instrutor 4</t>
  </si>
  <si>
    <t>Sexta-feira</t>
  </si>
  <si>
    <t>PRAZOS</t>
  </si>
  <si>
    <t>DESCRIÇÃO DO ITEM</t>
  </si>
  <si>
    <t>DATA DE PAGAMENTO</t>
  </si>
  <si>
    <t>Questionário n° 1</t>
  </si>
  <si>
    <t>Atribuição nº 2</t>
  </si>
  <si>
    <t>Atribuição nº 3</t>
  </si>
  <si>
    <t>Apresentação nº 1</t>
  </si>
  <si>
    <t>Papel</t>
  </si>
  <si>
    <t>CRONOGRAMA SEMANAL</t>
  </si>
  <si>
    <t>CALENDÁRIO SEMESTRAL</t>
  </si>
  <si>
    <t>DOM</t>
  </si>
  <si>
    <t>SEG</t>
  </si>
  <si>
    <t>TER</t>
  </si>
  <si>
    <t>QUA</t>
  </si>
  <si>
    <t>QUI</t>
  </si>
  <si>
    <t>SEX</t>
  </si>
  <si>
    <t>SÁB</t>
  </si>
  <si>
    <t>DATA DE INÍCIO</t>
  </si>
  <si>
    <t>DATA DE TÉRMINO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</si>
</sst>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4" formatCode="_ &quot;₹&quot;\ * #,##0_ ;_ &quot;₹&quot;\ * \-#,##0_ ;_ &quot;₹&quot;\ * &quot;-&quot;_ ;_ @_ "/>
    <numFmt numFmtId="165" formatCode="_ * #,##0_ ;_ * \-#,##0_ ;_ * &quot;-&quot;_ ;_ @_ "/>
    <numFmt numFmtId="166" formatCode="_ &quot;₹&quot;\ * #,##0.00_ ;_ &quot;₹&quot;\ * \-#,##0.00_ ;_ &quot;₹&quot;\ * &quot;-&quot;??_ ;_ @_ "/>
    <numFmt numFmtId="167" formatCode="_ * #,##0.00_ ;_ * \-#,##0.00_ ;_ * &quot;-&quot;??_ ;_ @_ "/>
    <numFmt numFmtId="168" formatCode="[$-F400]h:mm:ss\ AM/PM"/>
    <numFmt numFmtId="169" formatCode="h:mm;@"/>
    <numFmt numFmtId="170" formatCode="[$-409]h:mm\ AM/PM;@"/>
    <numFmt numFmtId="171" formatCode=";;;"/>
  </numFmts>
  <fonts count="8">
    <font>
      <sz val="11"/>
      <color theme="1"/>
      <name val="Trebuchet MS"/>
      <family val="2"/>
      <scheme val="minor"/>
    </font>
    <font>
      <sz val="28"/>
      <color theme="4"/>
      <name val="Trebuchet MS"/>
      <family val="2"/>
      <scheme val="major"/>
    </font>
    <font>
      <b/>
      <sz val="11"/>
      <color theme="0"/>
      <name val="Trebuchet MS"/>
      <family val="2"/>
      <scheme val="minor"/>
    </font>
    <font>
      <b/>
      <sz val="12"/>
      <color theme="3"/>
      <name val="Trebuchet MS"/>
      <family val="2"/>
      <scheme val="minor"/>
    </font>
    <font>
      <sz val="11"/>
      <color theme="3"/>
      <name val="Trebuchet MS"/>
      <family val="2"/>
      <scheme val="minor"/>
    </font>
    <font>
      <sz val="11"/>
      <color theme="1"/>
      <name val="Trebuchet MS"/>
      <family val="2"/>
      <scheme val="minor"/>
    </font>
    <font>
      <b/>
      <sz val="11"/>
      <color theme="4"/>
      <name val="Trebuchet MS"/>
      <family val="2"/>
      <scheme val="minor"/>
    </font>
    <font>
      <sz val="10"/>
      <color theme="1"/>
      <name val="Trebuchet MS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</patternFill>
    </fill>
  </fills>
  <borders count="19">
    <border>
      <left/>
      <right/>
      <top/>
      <bottom/>
      <diagonal/>
    </border>
    <border>
      <left style="thin">
        <color theme="4"/>
      </left>
      <right style="thin">
        <color theme="0"/>
      </right>
      <top style="thin">
        <color theme="4"/>
      </top>
      <bottom/>
      <diagonal/>
    </border>
    <border>
      <left style="thin">
        <color theme="0"/>
      </left>
      <right style="thin">
        <color theme="0"/>
      </right>
      <top style="thin">
        <color theme="4"/>
      </top>
      <bottom/>
      <diagonal/>
    </border>
    <border>
      <left style="thin">
        <color theme="0"/>
      </left>
      <right style="thin">
        <color theme="4"/>
      </right>
      <top style="thin">
        <color theme="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/>
      </left>
      <right style="thin">
        <color theme="0"/>
      </right>
      <top style="thin">
        <color theme="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4"/>
      </top>
      <bottom style="thin">
        <color theme="0"/>
      </bottom>
      <diagonal/>
    </border>
    <border>
      <left style="thin">
        <color theme="0"/>
      </left>
      <right style="thin">
        <color theme="4"/>
      </right>
      <top style="thin">
        <color theme="4"/>
      </top>
      <bottom style="thin">
        <color theme="0"/>
      </bottom>
      <diagonal/>
    </border>
    <border>
      <left style="thin">
        <color theme="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4"/>
      </right>
      <top style="thin">
        <color theme="0"/>
      </top>
      <bottom style="thin">
        <color theme="0"/>
      </bottom>
      <diagonal/>
    </border>
    <border>
      <left style="thin">
        <color theme="4"/>
      </left>
      <right style="thin">
        <color theme="0"/>
      </right>
      <top style="thin">
        <color theme="0"/>
      </top>
      <bottom style="thin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4"/>
      </bottom>
      <diagonal/>
    </border>
    <border>
      <left style="thin">
        <color theme="0"/>
      </left>
      <right style="thin">
        <color theme="4"/>
      </right>
      <top style="thin">
        <color theme="0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3" tint="-0.24994659260841701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/>
      </left>
      <right style="thin">
        <color theme="4"/>
      </right>
      <top/>
      <bottom/>
      <diagonal/>
    </border>
    <border>
      <left style="thin">
        <color theme="0"/>
      </left>
      <right/>
      <top style="thin">
        <color theme="4"/>
      </top>
      <bottom style="thin">
        <color theme="0"/>
      </bottom>
      <diagonal/>
    </border>
  </borders>
  <cellStyleXfs count="14">
    <xf numFmtId="0" fontId="0" fillId="0" borderId="0" applyBorder="0">
      <alignment vertical="center" wrapText="1"/>
    </xf>
    <xf numFmtId="0" fontId="1" fillId="0" borderId="0" applyNumberFormat="0" applyFill="0" applyBorder="0" applyProtection="0"/>
    <xf numFmtId="0" fontId="2" fillId="2" borderId="0" applyNumberFormat="0" applyBorder="0" applyAlignment="0" applyProtection="0"/>
    <xf numFmtId="0" fontId="3" fillId="0" borderId="0" applyNumberFormat="0" applyFill="0" applyBorder="0" applyAlignment="0" applyProtection="0"/>
    <xf numFmtId="0" fontId="6" fillId="0" borderId="14" applyNumberFormat="0" applyFill="0" applyAlignment="0" applyProtection="0"/>
    <xf numFmtId="0" fontId="4" fillId="0" borderId="0" applyNumberFormat="0" applyFill="0" applyBorder="0" applyAlignment="0" applyProtection="0"/>
    <xf numFmtId="167" fontId="5" fillId="0" borderId="0" applyFill="0" applyBorder="0" applyAlignment="0" applyProtection="0"/>
    <xf numFmtId="165" fontId="5" fillId="0" borderId="0" applyFill="0" applyBorder="0" applyAlignment="0" applyProtection="0"/>
    <xf numFmtId="166" fontId="5" fillId="0" borderId="0" applyFill="0" applyBorder="0" applyAlignment="0" applyProtection="0"/>
    <xf numFmtId="164" fontId="5" fillId="0" borderId="0" applyFill="0" applyBorder="0" applyAlignment="0" applyProtection="0"/>
    <xf numFmtId="9" fontId="5" fillId="0" borderId="0" applyFill="0" applyBorder="0" applyAlignment="0" applyProtection="0"/>
    <xf numFmtId="0" fontId="5" fillId="4" borderId="13" applyNumberFormat="0" applyAlignment="0" applyProtection="0"/>
    <xf numFmtId="14" fontId="5" fillId="0" borderId="0" applyFill="0" applyBorder="0">
      <alignment horizontal="left" vertical="center"/>
    </xf>
    <xf numFmtId="170" fontId="5" fillId="0" borderId="0" applyFont="0" applyFill="0" applyBorder="0">
      <alignment horizontal="right" vertical="center" wrapText="1" indent="1"/>
    </xf>
  </cellStyleXfs>
  <cellXfs count="39">
    <xf numFmtId="0" fontId="0" fillId="0" borderId="0" xfId="0">
      <alignment vertical="center" wrapText="1"/>
    </xf>
    <xf numFmtId="0" fontId="0" fillId="0" borderId="0" xfId="0" applyBorder="1">
      <alignment vertical="center" wrapText="1"/>
    </xf>
    <xf numFmtId="0" fontId="6" fillId="0" borderId="14" xfId="4" applyAlignment="1">
      <alignment vertical="center"/>
    </xf>
    <xf numFmtId="0" fontId="4" fillId="0" borderId="0" xfId="5" applyBorder="1" applyAlignment="1">
      <alignment horizontal="left" vertical="center"/>
    </xf>
    <xf numFmtId="14" fontId="4" fillId="0" borderId="0" xfId="5" applyNumberFormat="1" applyBorder="1" applyAlignment="1">
      <alignment horizontal="left" vertical="center"/>
    </xf>
    <xf numFmtId="0" fontId="0" fillId="0" borderId="0" xfId="0" applyAlignment="1">
      <alignment horizontal="left" vertical="center"/>
    </xf>
    <xf numFmtId="168" fontId="0" fillId="0" borderId="0" xfId="0" applyNumberFormat="1">
      <alignment vertical="center" wrapText="1"/>
    </xf>
    <xf numFmtId="0" fontId="2" fillId="2" borderId="0" xfId="2" applyBorder="1" applyAlignment="1">
      <alignment vertical="center"/>
    </xf>
    <xf numFmtId="0" fontId="2" fillId="2" borderId="1" xfId="2" applyBorder="1" applyAlignment="1">
      <alignment horizontal="center" vertical="center"/>
    </xf>
    <xf numFmtId="0" fontId="2" fillId="2" borderId="2" xfId="2" applyBorder="1" applyAlignment="1">
      <alignment horizontal="center" vertical="center"/>
    </xf>
    <xf numFmtId="0" fontId="2" fillId="2" borderId="3" xfId="2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169" fontId="0" fillId="0" borderId="0" xfId="0" applyNumberFormat="1" applyBorder="1" applyAlignment="1">
      <alignment horizontal="left" vertical="center"/>
    </xf>
    <xf numFmtId="170" fontId="2" fillId="2" borderId="0" xfId="2" applyNumberFormat="1" applyBorder="1" applyAlignment="1">
      <alignment horizontal="left" vertical="center"/>
    </xf>
    <xf numFmtId="1" fontId="4" fillId="3" borderId="5" xfId="0" applyNumberFormat="1" applyFont="1" applyFill="1" applyBorder="1" applyAlignment="1">
      <alignment horizontal="center" vertical="center"/>
    </xf>
    <xf numFmtId="1" fontId="4" fillId="3" borderId="6" xfId="0" applyNumberFormat="1" applyFont="1" applyFill="1" applyBorder="1" applyAlignment="1">
      <alignment horizontal="center" vertical="center"/>
    </xf>
    <xf numFmtId="1" fontId="4" fillId="3" borderId="7" xfId="0" applyNumberFormat="1" applyFont="1" applyFill="1" applyBorder="1" applyAlignment="1">
      <alignment horizontal="center" vertical="center"/>
    </xf>
    <xf numFmtId="1" fontId="4" fillId="3" borderId="8" xfId="0" applyNumberFormat="1" applyFont="1" applyFill="1" applyBorder="1" applyAlignment="1">
      <alignment horizontal="center" vertical="center"/>
    </xf>
    <xf numFmtId="1" fontId="4" fillId="3" borderId="4" xfId="0" applyNumberFormat="1" applyFont="1" applyFill="1" applyBorder="1" applyAlignment="1">
      <alignment horizontal="center" vertical="center"/>
    </xf>
    <xf numFmtId="1" fontId="4" fillId="3" borderId="9" xfId="0" applyNumberFormat="1" applyFont="1" applyFill="1" applyBorder="1" applyAlignment="1">
      <alignment horizontal="center" vertical="center"/>
    </xf>
    <xf numFmtId="1" fontId="4" fillId="3" borderId="10" xfId="0" applyNumberFormat="1" applyFont="1" applyFill="1" applyBorder="1" applyAlignment="1">
      <alignment horizontal="center" vertical="center"/>
    </xf>
    <xf numFmtId="1" fontId="4" fillId="3" borderId="11" xfId="0" applyNumberFormat="1" applyFont="1" applyFill="1" applyBorder="1" applyAlignment="1">
      <alignment horizontal="center" vertical="center"/>
    </xf>
    <xf numFmtId="1" fontId="4" fillId="3" borderId="12" xfId="0" applyNumberFormat="1" applyFont="1" applyFill="1" applyBorder="1" applyAlignment="1">
      <alignment horizontal="center" vertical="center"/>
    </xf>
    <xf numFmtId="14" fontId="5" fillId="0" borderId="0" xfId="12" applyBorder="1">
      <alignment horizontal="left" vertical="center"/>
    </xf>
    <xf numFmtId="0" fontId="0" fillId="0" borderId="0" xfId="0" applyAlignment="1">
      <alignment vertical="center"/>
    </xf>
    <xf numFmtId="1" fontId="4" fillId="3" borderId="18" xfId="0" applyNumberFormat="1" applyFont="1" applyFill="1" applyBorder="1" applyAlignment="1">
      <alignment horizontal="center" vertical="center"/>
    </xf>
    <xf numFmtId="0" fontId="0" fillId="0" borderId="17" xfId="0" applyBorder="1">
      <alignment vertical="center" wrapText="1"/>
    </xf>
    <xf numFmtId="171" fontId="7" fillId="0" borderId="0" xfId="0" applyNumberFormat="1" applyFont="1">
      <alignment vertical="center" wrapText="1"/>
    </xf>
    <xf numFmtId="171" fontId="7" fillId="0" borderId="0" xfId="0" applyNumberFormat="1" applyFont="1" applyAlignment="1">
      <alignment vertical="center"/>
    </xf>
    <xf numFmtId="171" fontId="0" fillId="0" borderId="0" xfId="0" applyNumberFormat="1" applyBorder="1">
      <alignment vertical="center" wrapText="1"/>
    </xf>
    <xf numFmtId="0" fontId="3" fillId="0" borderId="15" xfId="3" applyBorder="1" applyAlignment="1">
      <alignment vertical="center"/>
    </xf>
    <xf numFmtId="0" fontId="0" fillId="0" borderId="0" xfId="0" pivotButton="1">
      <alignment vertical="center" wrapText="1"/>
    </xf>
    <xf numFmtId="169" fontId="0" fillId="0" borderId="0" xfId="0" applyNumberFormat="1" applyAlignment="1">
      <alignment horizontal="left" vertical="center"/>
    </xf>
    <xf numFmtId="0" fontId="0" fillId="0" borderId="0" xfId="0">
      <alignment vertical="center" wrapText="1"/>
    </xf>
    <xf numFmtId="169" fontId="0" fillId="0" borderId="0" xfId="0" applyNumberFormat="1" applyAlignment="1">
      <alignment horizontal="right" vertical="center" wrapText="1" indent="1"/>
    </xf>
    <xf numFmtId="0" fontId="1" fillId="0" borderId="0" xfId="1" applyAlignment="1">
      <alignment horizontal="left"/>
    </xf>
    <xf numFmtId="0" fontId="3" fillId="0" borderId="16" xfId="3" applyBorder="1" applyAlignment="1">
      <alignment vertical="center"/>
    </xf>
    <xf numFmtId="0" fontId="1" fillId="0" borderId="0" xfId="1" applyAlignment="1"/>
    <xf numFmtId="0" fontId="0" fillId="0" borderId="0" xfId="0" applyAlignment="1">
      <alignment vertical="center" wrapText="1"/>
    </xf>
  </cellXfs>
  <cellStyles count="14">
    <cellStyle name="Data" xfId="12" xr:uid="{00000000-0005-0000-0000-000004000000}"/>
    <cellStyle name="Hora" xfId="13" xr:uid="{00000000-0005-0000-0000-00000C000000}"/>
    <cellStyle name="Moeda" xfId="8" builtinId="4" customBuiltin="1"/>
    <cellStyle name="Moeda [0]" xfId="9" builtinId="7" customBuiltin="1"/>
    <cellStyle name="Normal" xfId="0" builtinId="0" customBuiltin="1"/>
    <cellStyle name="Nota" xfId="11" builtinId="10" customBuiltin="1"/>
    <cellStyle name="Porcentagem" xfId="10" builtinId="5" customBuiltin="1"/>
    <cellStyle name="Separador de milhares [0]" xfId="7" builtinId="6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Vírgula" xfId="6" builtinId="3" customBuiltin="1"/>
  </cellStyles>
  <dxfs count="59">
    <dxf>
      <font>
        <b/>
        <i/>
        <color theme="4"/>
      </font>
    </dxf>
    <dxf>
      <font>
        <b/>
        <i/>
        <color theme="4"/>
      </font>
    </dxf>
    <dxf>
      <font>
        <b/>
        <i/>
        <color theme="4"/>
      </font>
    </dxf>
    <dxf>
      <font>
        <b/>
        <i/>
        <color theme="4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family val="2"/>
        <scheme val="minor"/>
      </font>
      <numFmt numFmtId="0" formatCode="General"/>
      <alignment horizontal="left" vertical="center" textRotation="0" wrapText="0" indent="0" justifyLastLine="0" shrinkToFit="0" readingOrder="0"/>
      <protection locked="1" hidden="0"/>
    </dxf>
    <dxf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alignment horizontal="left" vertical="center" textRotation="0" wrapText="0" indent="0" justifyLastLine="0" shrinkToFit="0" readingOrder="0"/>
    </dxf>
    <dxf>
      <numFmt numFmtId="169" formatCode="h:mm;@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numFmt numFmtId="169" formatCode="h:mm;@"/>
      <alignment horizontal="left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69" formatCode="h:mm;@"/>
      <alignment horizontal="left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alignment horizontal="left" vertical="center" textRotation="0" wrapText="0" indent="0" justifyLastLine="0" shrinkToFit="0" readingOrder="0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indent="1"/>
    </dxf>
    <dxf>
      <alignment indent="1"/>
    </dxf>
    <dxf>
      <alignment indent="1"/>
    </dxf>
    <dxf>
      <alignment indent="1"/>
    </dxf>
    <dxf>
      <alignment indent="1"/>
    </dxf>
    <dxf>
      <alignment indent="1"/>
    </dxf>
    <dxf>
      <alignment indent="1"/>
    </dxf>
    <dxf>
      <font>
        <b/>
        <i val="0"/>
        <color theme="0"/>
      </font>
      <fill>
        <patternFill patternType="solid">
          <fgColor auto="1"/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/>
        <vertical style="thin">
          <color theme="0"/>
        </vertical>
        <horizontal/>
      </border>
    </dxf>
    <dxf>
      <font>
        <color theme="3"/>
      </font>
      <fill>
        <patternFill>
          <bgColor theme="0"/>
        </patternFill>
      </fill>
      <border>
        <bottom style="thin">
          <color theme="4"/>
        </bottom>
        <horizontal style="thin">
          <color theme="4"/>
        </horizontal>
      </border>
    </dxf>
    <dxf>
      <fill>
        <patternFill patternType="solid">
          <fgColor theme="0" tint="-0.14999847407452621"/>
          <bgColor theme="0" tint="-0.14999847407452621"/>
        </patternFill>
      </fill>
      <border>
        <horizontal/>
      </border>
    </dxf>
    <dxf>
      <font>
        <b/>
        <i val="0"/>
        <color theme="0"/>
      </font>
      <fill>
        <patternFill>
          <bgColor theme="4"/>
        </patternFill>
      </fill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color theme="3" tint="-0.24994659260841701"/>
      </font>
      <fill>
        <patternFill patternType="solid">
          <bgColor theme="0"/>
        </patternFill>
      </fill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medium">
          <color theme="4"/>
        </bottom>
        <vertical style="thin">
          <color theme="0"/>
        </vertical>
        <horizontal style="thin">
          <color theme="0" tint="-4.9989318521683403E-2"/>
        </horizontal>
      </border>
    </dxf>
    <dxf>
      <border>
        <bottom style="thin">
          <color theme="4"/>
        </bottom>
      </border>
    </dxf>
    <dxf>
      <font>
        <b val="0"/>
        <i val="0"/>
        <color theme="1"/>
      </font>
      <fill>
        <patternFill>
          <bgColor theme="0" tint="-0.14996795556505021"/>
        </patternFill>
      </fill>
      <border>
        <bottom style="thin">
          <color theme="4"/>
        </bottom>
      </border>
    </dxf>
    <dxf>
      <font>
        <b/>
        <color theme="1"/>
      </font>
      <fill>
        <patternFill patternType="solid">
          <fgColor theme="0"/>
          <bgColor theme="0"/>
        </patternFill>
      </fill>
      <border>
        <top style="thin">
          <color theme="4"/>
        </top>
        <bottom style="thin">
          <color theme="4"/>
        </bottom>
      </border>
    </dxf>
    <dxf>
      <font>
        <b/>
        <i val="0"/>
        <color theme="0"/>
      </font>
      <fill>
        <patternFill>
          <bgColor theme="4"/>
        </patternFill>
      </fill>
      <border>
        <top style="thin">
          <color theme="4"/>
        </top>
        <bottom style="thin">
          <color theme="4"/>
        </bottom>
        <vertical style="medium">
          <color theme="0"/>
        </vertical>
      </border>
    </dxf>
    <dxf>
      <font>
        <color theme="1"/>
      </font>
      <fill>
        <patternFill>
          <bgColor theme="0"/>
        </patternFill>
      </fill>
      <border>
        <bottom style="thin">
          <color theme="4"/>
        </bottom>
        <horizontal/>
      </border>
    </dxf>
  </dxfs>
  <tableStyles count="3" defaultPivotStyle="PivotStyleLight16">
    <tableStyle name="EstiloTabelaDinâmicaClara2 2" table="0" count="5" xr9:uid="{00000000-0011-0000-FFFF-FFFF00000000}">
      <tableStyleElement type="wholeTable" dxfId="58"/>
      <tableStyleElement type="headerRow" dxfId="57"/>
      <tableStyleElement type="totalRow" dxfId="56"/>
      <tableStyleElement type="firstRowSubheading" dxfId="55"/>
      <tableStyleElement type="thirdRowSubheading" dxfId="54"/>
    </tableStyle>
    <tableStyle name="O Semestre em um piscar de olhos" pivot="0" count="3" xr9:uid="{00000000-0011-0000-FFFF-FFFF01000000}">
      <tableStyleElement type="wholeTable" dxfId="53"/>
      <tableStyleElement type="headerRow" dxfId="52"/>
      <tableStyleElement type="firstRowStripe" dxfId="51"/>
    </tableStyle>
    <tableStyle name="Tabela Dinâmica 2 do Semestre em um Relance" table="0" count="2" xr9:uid="{00000000-0011-0000-FFFF-FFFF02000000}">
      <tableStyleElement type="wholeTable" dxfId="50"/>
      <tableStyleElement type="headerRow" dxfId="4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28575</xdr:colOff>
      <xdr:row>2</xdr:row>
      <xdr:rowOff>66675</xdr:rowOff>
    </xdr:from>
    <xdr:to>
      <xdr:col>11</xdr:col>
      <xdr:colOff>2381250</xdr:colOff>
      <xdr:row>7</xdr:row>
      <xdr:rowOff>304800</xdr:rowOff>
    </xdr:to>
    <xdr:sp macro="" textlink="">
      <xdr:nvSpPr>
        <xdr:cNvPr id="2" name="Retângulo 1" descr="DICA DE LISTA DE AULAS: &#10;Digite suas aulas particulares nesta tabela. A duração da Aula é atualizada automaticament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591925" y="1085850"/>
          <a:ext cx="2352675" cy="2143125"/>
        </a:xfrm>
        <a:prstGeom prst="rect">
          <a:avLst/>
        </a:prstGeom>
        <a:solidFill>
          <a:schemeClr val="bg1"/>
        </a:solidFill>
        <a:ln w="19050"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 rtl="0"/>
          <a:r>
            <a:rPr lang="pt-br" sz="1100" b="1" i="0">
              <a:ln>
                <a:noFill/>
              </a:ln>
              <a:solidFill>
                <a:schemeClr val="accent2">
                  <a:lumMod val="50000"/>
                </a:schemeClr>
              </a:solidFill>
            </a:rPr>
            <a:t>DICA DE LISTA DE AULAS: </a:t>
          </a:r>
        </a:p>
        <a:p>
          <a:pPr algn="l" rtl="0"/>
          <a:endParaRPr lang="en-US" sz="1100" b="1" i="1">
            <a:ln>
              <a:noFill/>
            </a:ln>
            <a:solidFill>
              <a:schemeClr val="accent2"/>
            </a:solidFill>
          </a:endParaRPr>
        </a:p>
        <a:p>
          <a:pPr algn="l" rtl="0"/>
          <a:r>
            <a:rPr lang="pt-br" sz="1100" b="0" i="1">
              <a:ln>
                <a:noFill/>
              </a:ln>
              <a:solidFill>
                <a:schemeClr val="tx1"/>
              </a:solidFill>
            </a:rPr>
            <a:t>Digite suas aulas particulares nesta tabela. A duração da Aula é atualizada automaticamente.</a:t>
          </a:r>
        </a:p>
      </xdr:txBody>
    </xdr:sp>
    <xdr:clientData fPrint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28575</xdr:colOff>
      <xdr:row>2</xdr:row>
      <xdr:rowOff>76200</xdr:rowOff>
    </xdr:from>
    <xdr:to>
      <xdr:col>8</xdr:col>
      <xdr:colOff>2381250</xdr:colOff>
      <xdr:row>7</xdr:row>
      <xdr:rowOff>314325</xdr:rowOff>
    </xdr:to>
    <xdr:sp macro="" textlink="">
      <xdr:nvSpPr>
        <xdr:cNvPr id="2" name="Retângulo 1" descr="DICA DE ENTRADA DE DADOS DE TRABALHO: &#10;Selecione um ID de Curso. O Nome do Curso é preenchido automaticamente. &#10;&#10;Depois de atualizar a Planilha da Lista de Aulas, Atualize a Agenda Semanal para ver as alterações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9610725" y="1095375"/>
          <a:ext cx="2352675" cy="2143125"/>
        </a:xfrm>
        <a:prstGeom prst="rect">
          <a:avLst/>
        </a:prstGeom>
        <a:solidFill>
          <a:schemeClr val="bg1"/>
        </a:solidFill>
        <a:ln w="19050"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 rtl="0"/>
          <a:r>
            <a:rPr lang="pt-br" sz="1100" b="1" i="0">
              <a:ln>
                <a:noFill/>
              </a:ln>
              <a:solidFill>
                <a:schemeClr val="accent2">
                  <a:lumMod val="50000"/>
                </a:schemeClr>
              </a:solidFill>
            </a:rPr>
            <a:t>DICA DE ENTRADA DE DADOS DE TRABALHO: </a:t>
          </a:r>
        </a:p>
        <a:p>
          <a:pPr algn="l" rtl="0"/>
          <a:endParaRPr lang="en-US" sz="1100" b="1" i="1">
            <a:ln>
              <a:noFill/>
            </a:ln>
            <a:solidFill>
              <a:schemeClr val="accent2"/>
            </a:solidFill>
          </a:endParaRPr>
        </a:p>
        <a:p>
          <a:pPr algn="l" rtl="0"/>
          <a:r>
            <a:rPr lang="pt-br" sz="1100" b="0" i="1">
              <a:ln>
                <a:noFill/>
              </a:ln>
              <a:solidFill>
                <a:schemeClr val="tx1"/>
              </a:solidFill>
            </a:rPr>
            <a:t>Selecione um ID de Curso.</a:t>
          </a:r>
          <a:r>
            <a:rPr lang="pt-br" sz="1100" b="0" i="1" baseline="0">
              <a:ln>
                <a:noFill/>
              </a:ln>
              <a:solidFill>
                <a:schemeClr val="tx1"/>
              </a:solidFill>
            </a:rPr>
            <a:t> </a:t>
          </a:r>
          <a:r>
            <a:rPr lang="pt-br" sz="1100" b="0" i="1">
              <a:ln>
                <a:noFill/>
              </a:ln>
              <a:solidFill>
                <a:schemeClr val="tx1"/>
              </a:solidFill>
            </a:rPr>
            <a:t>O Nome do Curso é preenchido automaticamente. </a:t>
          </a:r>
        </a:p>
        <a:p>
          <a:pPr algn="l" rtl="0"/>
          <a:endParaRPr lang="en-US" sz="1100" b="0" i="1">
            <a:ln>
              <a:noFill/>
            </a:ln>
            <a:solidFill>
              <a:schemeClr val="tx1"/>
            </a:solidFill>
          </a:endParaRPr>
        </a:p>
        <a:p>
          <a:pPr algn="l" rtl="0"/>
          <a:r>
            <a:rPr lang="pt-br" sz="1100" b="0" i="1">
              <a:ln>
                <a:noFill/>
              </a:ln>
              <a:solidFill>
                <a:schemeClr val="tx1"/>
              </a:solidFill>
            </a:rPr>
            <a:t>Depois de atualizar a Planilha da Lista de Aulas, Atualize a Agenda Semanal para ver as alterações.</a:t>
          </a:r>
        </a:p>
      </xdr:txBody>
    </xdr:sp>
    <xdr:clientData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28575</xdr:colOff>
      <xdr:row>2</xdr:row>
      <xdr:rowOff>76201</xdr:rowOff>
    </xdr:from>
    <xdr:to>
      <xdr:col>5</xdr:col>
      <xdr:colOff>2381250</xdr:colOff>
      <xdr:row>10</xdr:row>
      <xdr:rowOff>333375</xdr:rowOff>
    </xdr:to>
    <xdr:sp macro="" textlink="">
      <xdr:nvSpPr>
        <xdr:cNvPr id="2" name="Retângulo 1" descr="DICA DE AGENDA SEMANAL:&#10;&#10;Para atualizar a sua agenda semanal, Atualize a agenda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000750" y="923926"/>
          <a:ext cx="2352675" cy="2105024"/>
        </a:xfrm>
        <a:prstGeom prst="rect">
          <a:avLst/>
        </a:prstGeom>
        <a:solidFill>
          <a:schemeClr val="bg1"/>
        </a:solidFill>
        <a:ln w="19050"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 rtl="0"/>
          <a:r>
            <a:rPr lang="pt-br" sz="1100" b="1" i="0">
              <a:ln>
                <a:noFill/>
              </a:ln>
              <a:solidFill>
                <a:schemeClr val="accent2">
                  <a:lumMod val="50000"/>
                </a:schemeClr>
              </a:solidFill>
            </a:rPr>
            <a:t>DICA DE AGENDA SEMANAL:</a:t>
          </a:r>
        </a:p>
        <a:p>
          <a:pPr algn="l" rtl="0"/>
          <a:endParaRPr lang="en-US" sz="1100" b="1" i="1">
            <a:ln>
              <a:noFill/>
            </a:ln>
            <a:solidFill>
              <a:schemeClr val="accent2"/>
            </a:solidFill>
          </a:endParaRPr>
        </a:p>
        <a:p>
          <a:pPr algn="l" rtl="0"/>
          <a:endParaRPr lang="en-US" sz="1100" b="0" i="1">
            <a:ln>
              <a:noFill/>
            </a:ln>
            <a:solidFill>
              <a:schemeClr val="tx1"/>
            </a:solidFill>
          </a:endParaRPr>
        </a:p>
        <a:p>
          <a:pPr algn="l" rtl="0"/>
          <a:r>
            <a:rPr lang="pt-br" sz="1100" b="0" i="1">
              <a:ln>
                <a:noFill/>
              </a:ln>
              <a:solidFill>
                <a:schemeClr val="tx1"/>
              </a:solidFill>
            </a:rPr>
            <a:t>Para atualizar a sua agenda semanal, Atualize a agenda.</a:t>
          </a:r>
        </a:p>
      </xdr:txBody>
    </xdr:sp>
    <xdr:clientData fPrint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28575</xdr:colOff>
      <xdr:row>3</xdr:row>
      <xdr:rowOff>47625</xdr:rowOff>
    </xdr:from>
    <xdr:to>
      <xdr:col>19</xdr:col>
      <xdr:colOff>0</xdr:colOff>
      <xdr:row>8</xdr:row>
      <xdr:rowOff>333375</xdr:rowOff>
    </xdr:to>
    <xdr:sp macro="" textlink="">
      <xdr:nvSpPr>
        <xdr:cNvPr id="2" name="Retângulo 1" descr="DICA DE CALENDÁRIO SEMESTRAL:&#10;&#10;Digite o Ano, a Data de Início e a Data de Término para exibir um cronograma de quatro meses.&#10;&#10;Os Dias com prazos finais são exibidos em R=222, G=56, B=0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10001250" y="1428750"/>
          <a:ext cx="2352675" cy="2143125"/>
        </a:xfrm>
        <a:prstGeom prst="rect">
          <a:avLst/>
        </a:prstGeom>
        <a:solidFill>
          <a:schemeClr val="bg1"/>
        </a:solidFill>
        <a:ln w="19050"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 rtl="0"/>
          <a:r>
            <a:rPr lang="pt-br" sz="1100" b="1" i="0">
              <a:ln>
                <a:noFill/>
              </a:ln>
              <a:solidFill>
                <a:schemeClr val="accent2">
                  <a:lumMod val="50000"/>
                </a:schemeClr>
              </a:solidFill>
            </a:rPr>
            <a:t>DICA DE CALENDÁRIO SEMESTRAL:</a:t>
          </a:r>
          <a:endParaRPr lang="en-US" sz="1100" b="1" i="1">
            <a:ln>
              <a:noFill/>
            </a:ln>
            <a:solidFill>
              <a:schemeClr val="accent2"/>
            </a:solidFill>
          </a:endParaRPr>
        </a:p>
        <a:p>
          <a:pPr algn="l" rtl="0"/>
          <a:endParaRPr lang="en-US" sz="1100" b="0" i="1">
            <a:ln>
              <a:noFill/>
            </a:ln>
            <a:solidFill>
              <a:schemeClr val="tx1"/>
            </a:solidFill>
          </a:endParaRPr>
        </a:p>
        <a:p>
          <a:pPr algn="l" rtl="0"/>
          <a:r>
            <a:rPr lang="pt-br" sz="1100" b="0" i="1">
              <a:ln>
                <a:noFill/>
              </a:ln>
              <a:solidFill>
                <a:schemeClr val="tx1"/>
              </a:solidFill>
            </a:rPr>
            <a:t>Digite o Ano, a Data de Início e a Data de Término para exibir um cronograma de quatro meses.</a:t>
          </a:r>
        </a:p>
        <a:p>
          <a:pPr algn="l" rtl="0"/>
          <a:endParaRPr lang="en-US" sz="1100" b="0" i="1">
            <a:ln>
              <a:noFill/>
            </a:ln>
            <a:solidFill>
              <a:schemeClr val="tx1"/>
            </a:solidFill>
          </a:endParaRPr>
        </a:p>
        <a:p>
          <a:pPr algn="l" rtl="0"/>
          <a:r>
            <a:rPr lang="pt-br" sz="1100" b="0" i="1">
              <a:ln>
                <a:noFill/>
              </a:ln>
              <a:solidFill>
                <a:schemeClr val="tx1"/>
              </a:solidFill>
            </a:rPr>
            <a:t>Os Dias com prazos finais são exibidos em vermelho.</a:t>
          </a:r>
        </a:p>
      </xdr:txBody>
    </xdr:sp>
    <xdr:clientData fPrintsWithSheet="0"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4670.493534374997" createdVersion="7" refreshedVersion="7" minRefreshableVersion="3" recordCount="7" xr:uid="{5E3AFC32-A1D4-4485-8B2C-842200E3193B}">
  <cacheSource type="worksheet">
    <worksheetSource name="ClassListTable"/>
  </cacheSource>
  <cacheFields count="10">
    <cacheField name="ID DO CURSO" numFmtId="0">
      <sharedItems/>
    </cacheField>
    <cacheField name="NOME" numFmtId="0">
      <sharedItems count="4">
        <s v="Introdução a Aplicativos de Computador"/>
        <s v="Composição Escrita"/>
        <s v="Oratória"/>
        <s v="Psicologia Básica"/>
      </sharedItems>
    </cacheField>
    <cacheField name="INSTRUTOR" numFmtId="0">
      <sharedItems/>
    </cacheField>
    <cacheField name="DIA" numFmtId="0">
      <sharedItems count="7">
        <s v="Segunda-feira"/>
        <s v="Quarta-feira"/>
        <s v="Terça-feira"/>
        <s v="Quinta"/>
        <s v="Segunda"/>
        <s v="Quarta"/>
        <s v="Sexta-feira"/>
      </sharedItems>
    </cacheField>
    <cacheField name="ANO" numFmtId="0">
      <sharedItems containsSemiMixedTypes="0" containsString="0" containsNumber="1" containsInteger="1" minValue="2022" maxValue="2022"/>
    </cacheField>
    <cacheField name="SEMESTRE" numFmtId="0">
      <sharedItems/>
    </cacheField>
    <cacheField name="INÍCIO" numFmtId="169">
      <sharedItems containsSemiMixedTypes="0" containsNonDate="0" containsDate="1" containsString="0" minDate="1899-12-30T10:00:00" maxDate="1899-12-30T14:00:00" count="3">
        <d v="1899-12-30T14:00:00"/>
        <d v="1899-12-30T10:00:00"/>
        <d v="1899-12-30T11:00:00"/>
      </sharedItems>
      <fieldGroup par="9"/>
    </cacheField>
    <cacheField name="TÉRMINO" numFmtId="169">
      <sharedItems containsSemiMixedTypes="0" containsNonDate="0" containsDate="1" containsString="0" minDate="1899-12-30T11:00:00" maxDate="1899-12-30T15:30:00"/>
    </cacheField>
    <cacheField name="DURAÇÃO" numFmtId="169">
      <sharedItems containsSemiMixedTypes="0" containsNonDate="0" containsDate="1" containsString="0" minDate="1899-12-30T01:00:00" maxDate="1899-12-30T01:30:00"/>
    </cacheField>
    <cacheField name="Horas (INÍCIO)" numFmtId="0" databaseField="0">
      <fieldGroup base="6">
        <rangePr groupBy="hours" startDate="1899-12-30T10:00:00" endDate="1899-12-30T14:00:00"/>
        <groupItems count="26">
          <s v="&lt;00/01/1900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00/01/19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s v="CS 120"/>
    <x v="0"/>
    <s v="Instrutor 1"/>
    <x v="0"/>
    <n v="2022"/>
    <s v="Primavera"/>
    <x v="0"/>
    <d v="1899-12-30T15:30:00"/>
    <d v="1899-12-30T01:30:00"/>
  </r>
  <r>
    <s v="CS 120"/>
    <x v="0"/>
    <s v="Instrutor 1"/>
    <x v="1"/>
    <n v="2022"/>
    <s v="Primavera"/>
    <x v="0"/>
    <d v="1899-12-30T15:30:00"/>
    <d v="1899-12-30T01:30:00"/>
  </r>
  <r>
    <s v="WR 121"/>
    <x v="1"/>
    <s v="Instrutor 2"/>
    <x v="2"/>
    <n v="2022"/>
    <s v="Primavera"/>
    <x v="1"/>
    <d v="1899-12-30T11:30:00"/>
    <d v="1899-12-30T01:30:00"/>
  </r>
  <r>
    <s v="WR 121"/>
    <x v="1"/>
    <s v="Instrutor 2"/>
    <x v="3"/>
    <n v="2022"/>
    <s v="Primavera"/>
    <x v="1"/>
    <d v="1899-12-30T11:30:00"/>
    <d v="1899-12-30T01:30:00"/>
  </r>
  <r>
    <s v="SP 111"/>
    <x v="2"/>
    <s v="Instrutor 3"/>
    <x v="4"/>
    <n v="2022"/>
    <s v="Primavera"/>
    <x v="2"/>
    <d v="1899-12-30T12:00:00"/>
    <d v="1899-12-30T01:00:00"/>
  </r>
  <r>
    <s v="SP 111"/>
    <x v="2"/>
    <s v="Instrutor 3"/>
    <x v="5"/>
    <n v="2022"/>
    <s v="Primavera"/>
    <x v="2"/>
    <d v="1899-12-30T12:00:00"/>
    <d v="1899-12-30T01:00:00"/>
  </r>
  <r>
    <s v="PSY 101"/>
    <x v="3"/>
    <s v="Instrutor 4"/>
    <x v="6"/>
    <n v="2022"/>
    <s v="Primavera"/>
    <x v="1"/>
    <d v="1899-12-30T11:00:00"/>
    <d v="1899-12-30T01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503E8B-C5C6-41E5-805F-5363F6C70CEE}" name="WeeklyScheduleReport" cacheId="2009" applyNumberFormats="0" applyBorderFormats="0" applyFontFormats="0" applyPatternFormats="0" applyAlignmentFormats="0" applyWidthHeightFormats="1" dataCaption="Values" updatedVersion="7" minRefreshableVersion="3" showDrill="0" rowGrandTotals="0" colGrandTotals="0" fieldPrintTitles="1" itemPrintTitles="1" createdVersion="5" indent="0" compact="0" compactData="0" multipleFieldFilters="0">
  <location ref="B2:D9" firstHeaderRow="1" firstDataRow="1" firstDataCol="3"/>
  <pivotFields count="10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1"/>
        <item x="0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x="0"/>
        <item x="2"/>
        <item x="1"/>
        <item x="6"/>
        <item x="5"/>
        <item x="3"/>
        <item x="4"/>
      </items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69" outline="0" showAll="0" defaultSubtotal="0">
      <items count="3">
        <item x="1"/>
        <item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9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9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3"/>
    <field x="6"/>
    <field x="1"/>
  </rowFields>
  <rowItems count="7">
    <i>
      <x/>
      <x v="2"/>
      <x v="1"/>
    </i>
    <i>
      <x v="1"/>
      <x/>
      <x/>
    </i>
    <i>
      <x v="2"/>
      <x v="2"/>
      <x v="1"/>
    </i>
    <i>
      <x v="3"/>
      <x/>
      <x v="3"/>
    </i>
    <i>
      <x v="4"/>
      <x v="1"/>
      <x v="2"/>
    </i>
    <i>
      <x v="5"/>
      <x/>
      <x/>
    </i>
    <i>
      <x v="6"/>
      <x v="1"/>
      <x v="2"/>
    </i>
  </rowItems>
  <colItems count="1">
    <i/>
  </colItems>
  <formats count="14">
    <format dxfId="35">
      <pivotArea dataOnly="0" labelOnly="1" outline="0" fieldPosition="0">
        <references count="2">
          <reference field="3" count="1" selected="0">
            <x v="0"/>
          </reference>
          <reference field="6" count="1">
            <x v="2"/>
          </reference>
        </references>
      </pivotArea>
    </format>
    <format dxfId="36">
      <pivotArea dataOnly="0" labelOnly="1" outline="0" fieldPosition="0">
        <references count="2">
          <reference field="3" count="1" selected="0">
            <x v="1"/>
          </reference>
          <reference field="6" count="1">
            <x v="0"/>
          </reference>
        </references>
      </pivotArea>
    </format>
    <format dxfId="37">
      <pivotArea dataOnly="0" labelOnly="1" outline="0" fieldPosition="0">
        <references count="2">
          <reference field="3" count="1" selected="0">
            <x v="2"/>
          </reference>
          <reference field="6" count="1">
            <x v="2"/>
          </reference>
        </references>
      </pivotArea>
    </format>
    <format dxfId="38">
      <pivotArea dataOnly="0" labelOnly="1" outline="0" fieldPosition="0">
        <references count="2">
          <reference field="3" count="1" selected="0">
            <x v="3"/>
          </reference>
          <reference field="6" count="1">
            <x v="0"/>
          </reference>
        </references>
      </pivotArea>
    </format>
    <format dxfId="39">
      <pivotArea dataOnly="0" labelOnly="1" outline="0" fieldPosition="0">
        <references count="2">
          <reference field="3" count="1" selected="0">
            <x v="4"/>
          </reference>
          <reference field="6" count="1">
            <x v="1"/>
          </reference>
        </references>
      </pivotArea>
    </format>
    <format dxfId="40">
      <pivotArea dataOnly="0" labelOnly="1" outline="0" fieldPosition="0">
        <references count="2">
          <reference field="3" count="1" selected="0">
            <x v="5"/>
          </reference>
          <reference field="6" count="1">
            <x v="0"/>
          </reference>
        </references>
      </pivotArea>
    </format>
    <format dxfId="41">
      <pivotArea dataOnly="0" labelOnly="1" outline="0" fieldPosition="0">
        <references count="2">
          <reference field="3" count="1" selected="0">
            <x v="6"/>
          </reference>
          <reference field="6" count="1">
            <x v="1"/>
          </reference>
        </references>
      </pivotArea>
    </format>
    <format dxfId="42">
      <pivotArea dataOnly="0" labelOnly="1" outline="0" fieldPosition="0">
        <references count="2">
          <reference field="3" count="1" selected="0">
            <x v="0"/>
          </reference>
          <reference field="6" count="1">
            <x v="2"/>
          </reference>
        </references>
      </pivotArea>
    </format>
    <format dxfId="43">
      <pivotArea dataOnly="0" labelOnly="1" outline="0" fieldPosition="0">
        <references count="2">
          <reference field="3" count="1" selected="0">
            <x v="1"/>
          </reference>
          <reference field="6" count="1">
            <x v="0"/>
          </reference>
        </references>
      </pivotArea>
    </format>
    <format dxfId="44">
      <pivotArea dataOnly="0" labelOnly="1" outline="0" fieldPosition="0">
        <references count="2">
          <reference field="3" count="1" selected="0">
            <x v="2"/>
          </reference>
          <reference field="6" count="1">
            <x v="2"/>
          </reference>
        </references>
      </pivotArea>
    </format>
    <format dxfId="45">
      <pivotArea dataOnly="0" labelOnly="1" outline="0" fieldPosition="0">
        <references count="2">
          <reference field="3" count="1" selected="0">
            <x v="3"/>
          </reference>
          <reference field="6" count="1">
            <x v="0"/>
          </reference>
        </references>
      </pivotArea>
    </format>
    <format dxfId="46">
      <pivotArea dataOnly="0" labelOnly="1" outline="0" fieldPosition="0">
        <references count="2">
          <reference field="3" count="1" selected="0">
            <x v="4"/>
          </reference>
          <reference field="6" count="1">
            <x v="1"/>
          </reference>
        </references>
      </pivotArea>
    </format>
    <format dxfId="47">
      <pivotArea dataOnly="0" labelOnly="1" outline="0" fieldPosition="0">
        <references count="2">
          <reference field="3" count="1" selected="0">
            <x v="5"/>
          </reference>
          <reference field="6" count="1">
            <x v="0"/>
          </reference>
        </references>
      </pivotArea>
    </format>
    <format dxfId="48">
      <pivotArea dataOnly="0" labelOnly="1" outline="0" fieldPosition="0">
        <references count="2">
          <reference field="3" count="1" selected="0">
            <x v="6"/>
          </reference>
          <reference field="6" count="1">
            <x v="1"/>
          </reference>
        </references>
      </pivotArea>
    </format>
  </formats>
  <pivotTableStyleInfo name="Tabela Dinâmica 2 do Semestre em um Relance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altTextSummary="Lista de aulas e horas de início por dia.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ListaAula" displayName="ClassListTable" ref="B2:J9" dataDxfId="34" dataCellStyle="Normal">
  <tableColumns count="9">
    <tableColumn id="1" xr3:uid="{00000000-0010-0000-0000-000001000000}" name="ID DO CURSO" totalsRowLabel="Total" dataDxfId="32" totalsRowDxfId="33" dataCellStyle="Normal"/>
    <tableColumn id="2" xr3:uid="{00000000-0010-0000-0000-000002000000}" name="NOME" dataDxfId="30" totalsRowDxfId="31" dataCellStyle="Normal"/>
    <tableColumn id="3" xr3:uid="{00000000-0010-0000-0000-000003000000}" name="INSTRUTOR" dataDxfId="28" totalsRowDxfId="29" dataCellStyle="Normal"/>
    <tableColumn id="4" xr3:uid="{00000000-0010-0000-0000-000004000000}" name="DIA" dataDxfId="26" totalsRowDxfId="27" dataCellStyle="Normal"/>
    <tableColumn id="5" xr3:uid="{00000000-0010-0000-0000-000005000000}" name="ANO" dataDxfId="24" totalsRowDxfId="25" dataCellStyle="Normal">
      <calculatedColumnFormula>YEAR(TODAY())</calculatedColumnFormula>
    </tableColumn>
    <tableColumn id="6" xr3:uid="{00000000-0010-0000-0000-000006000000}" name="SEMESTRE" dataDxfId="22" totalsRowDxfId="23" dataCellStyle="Normal"/>
    <tableColumn id="7" xr3:uid="{00000000-0010-0000-0000-000007000000}" name="INÍCIO" dataDxfId="20" totalsRowDxfId="21"/>
    <tableColumn id="8" xr3:uid="{00000000-0010-0000-0000-000008000000}" name="TÉRMINO" dataDxfId="18" totalsRowDxfId="19"/>
    <tableColumn id="9" xr3:uid="{00000000-0010-0000-0000-000009000000}" name="DURAÇÃO" totalsRowFunction="count" dataDxfId="16" totalsRowDxfId="17" dataCellStyle="Normal">
      <calculatedColumnFormula>IF(AND(ISNUMBER(ClassListTable[[#This Row],[TÉRMINO]]),ISNUMBER(ClassListTable[[#This Row],[INÍCIO]])),ClassListTable[[#This Row],[TÉRMINO]]-ClassListTable[[#This Row],[INÍCIO]],"")</calculatedColumnFormula>
    </tableColumn>
  </tableColumns>
  <tableStyleInfo name="O Semestre em um piscar de olhos" showFirstColumn="0" showLastColumn="0" showRowStripes="1" showColumnStripes="0"/>
  <extLst>
    <ext xmlns:x14="http://schemas.microsoft.com/office/spreadsheetml/2009/9/main" uri="{504A1905-F514-4f6f-8877-14C23A59335A}">
      <x14:table altTextSummary="Insira a ID do Curso, o Nome do curso, o Nome do instrutor, Dia, Ano, Hora de Início e Término. Selecione o Nome do Semestre nesta tabela. A duração é calculada automaticamente 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rabalho" displayName="Trabalho" ref="B2:G9" dataDxfId="15" dataCellStyle="Normal">
  <autoFilter ref="B2:G9" xr:uid="{00000000-0009-0000-0100-000002000000}"/>
  <tableColumns count="6">
    <tableColumn id="1" xr3:uid="{00000000-0010-0000-0100-000001000000}" name="ID DO CURSO" totalsRowLabel="Total" dataDxfId="13" totalsRowDxfId="14" dataCellStyle="Normal"/>
    <tableColumn id="6" xr3:uid="{00000000-0010-0000-0100-000006000000}" name="NOME" dataDxfId="11" totalsRowDxfId="12" dataCellStyle="Normal">
      <calculatedColumnFormula>IFERROR(VLOOKUP(Trabalho[[#This Row],[ID DO CURSO]],ClassListTable[],2,0),"")</calculatedColumnFormula>
    </tableColumn>
    <tableColumn id="2" xr3:uid="{00000000-0010-0000-0100-000002000000}" name="ANO" dataDxfId="9" totalsRowDxfId="10" dataCellStyle="Normal">
      <calculatedColumnFormula>YEAR(TODAY())</calculatedColumnFormula>
    </tableColumn>
    <tableColumn id="3" xr3:uid="{00000000-0010-0000-0100-000003000000}" name="SEMESTRE" dataDxfId="7" totalsRowDxfId="8" dataCellStyle="Normal"/>
    <tableColumn id="4" xr3:uid="{00000000-0010-0000-0100-000004000000}" name="DESCRIÇÃO DO ITEM" dataDxfId="5" totalsRowDxfId="6" dataCellStyle="Normal"/>
    <tableColumn id="5" xr3:uid="{00000000-0010-0000-0100-000005000000}" name="DATA DE PAGAMENTO" totalsRowFunction="count" totalsRowDxfId="4" dataCellStyle="Data"/>
  </tableColumns>
  <tableStyleInfo name="O Semestre em um piscar de olhos" showFirstColumn="0" showLastColumn="0" showRowStripes="1" showColumnStripes="0"/>
  <extLst>
    <ext xmlns:x14="http://schemas.microsoft.com/office/spreadsheetml/2009/9/main" uri="{504A1905-F514-4f6f-8877-14C23A59335A}">
      <x14:table altTextSummary="Selecione a ID do Curso e o Nome do Semestre, depois insira o Ano, Descrição do Item e Data de Conclusão nesta tabela. O nome é atualizado automaticamente"/>
    </ext>
  </extLst>
</table>
</file>

<file path=xl/theme/theme1.xml><?xml version="1.0" encoding="utf-8"?>
<a:theme xmlns:a="http://schemas.openxmlformats.org/drawingml/2006/main" name="Office Theme">
  <a:themeElements>
    <a:clrScheme name="Semester at a Glance">
      <a:dk1>
        <a:srgbClr val="000000"/>
      </a:dk1>
      <a:lt1>
        <a:srgbClr val="FFFFFF"/>
      </a:lt1>
      <a:dk2>
        <a:srgbClr val="616668"/>
      </a:dk2>
      <a:lt2>
        <a:srgbClr val="F8F8F9"/>
      </a:lt2>
      <a:accent1>
        <a:srgbClr val="DE3800"/>
      </a:accent1>
      <a:accent2>
        <a:srgbClr val="2BB0ED"/>
      </a:accent2>
      <a:accent3>
        <a:srgbClr val="FF9F17"/>
      </a:accent3>
      <a:accent4>
        <a:srgbClr val="17BD97"/>
      </a:accent4>
      <a:accent5>
        <a:srgbClr val="8B7CBD"/>
      </a:accent5>
      <a:accent6>
        <a:srgbClr val="F5C700"/>
      </a:accent6>
      <a:hlink>
        <a:srgbClr val="2BB0ED"/>
      </a:hlink>
      <a:folHlink>
        <a:srgbClr val="DE3800"/>
      </a:folHlink>
    </a:clrScheme>
    <a:fontScheme name="Semester at a Glance">
      <a:majorFont>
        <a:latin typeface="Trebuchet MS"/>
        <a:ea typeface=""/>
        <a:cs typeface=""/>
      </a:majorFont>
      <a:minorFont>
        <a:latin typeface="Trebuchet M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bg1"/>
        </a:solidFill>
        <a:ln w="19050">
          <a:solidFill>
            <a:schemeClr val="accent2"/>
          </a:solidFill>
        </a:ln>
      </a:spPr>
      <a:bodyPr vertOverflow="clip" horzOverflow="clip" rtlCol="0" anchor="ctr"/>
      <a:lstStyle>
        <a:defPPr algn="l">
          <a:defRPr sz="1100" b="1" i="1">
            <a:solidFill>
              <a:schemeClr val="tx2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499984740745262"/>
    <pageSetUpPr autoPageBreaks="0" fitToPage="1"/>
  </sheetPr>
  <dimension ref="B1:L9"/>
  <sheetViews>
    <sheetView showGridLines="0" tabSelected="1" zoomScaleNormal="100" workbookViewId="0"/>
  </sheetViews>
  <sheetFormatPr defaultRowHeight="30" customHeight="1"/>
  <cols>
    <col min="1" max="1" width="3.125" customWidth="1"/>
    <col min="2" max="2" width="13.25" customWidth="1"/>
    <col min="3" max="3" width="36.25" customWidth="1"/>
    <col min="4" max="4" width="19.5" customWidth="1"/>
    <col min="5" max="5" width="13.625" customWidth="1"/>
    <col min="6" max="6" width="9.875" customWidth="1"/>
    <col min="7" max="7" width="12.375" customWidth="1"/>
    <col min="8" max="9" width="14.75" customWidth="1"/>
    <col min="10" max="10" width="11.625" customWidth="1"/>
    <col min="11" max="11" width="3.5" customWidth="1"/>
    <col min="12" max="12" width="31.625" customWidth="1"/>
  </cols>
  <sheetData>
    <row r="1" spans="2:12" ht="50.25" customHeight="1">
      <c r="B1" s="37" t="s">
        <v>0</v>
      </c>
      <c r="C1" s="37"/>
      <c r="D1" s="37"/>
      <c r="E1" s="37"/>
      <c r="F1" s="37"/>
      <c r="G1" s="37"/>
      <c r="H1" s="37"/>
      <c r="I1" s="37"/>
      <c r="J1" s="37"/>
      <c r="K1" s="33"/>
      <c r="L1" s="33"/>
    </row>
    <row r="2" spans="2:12" ht="30" customHeight="1"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13" t="s">
        <v>7</v>
      </c>
      <c r="I2" s="13" t="s">
        <v>8</v>
      </c>
      <c r="J2" s="7" t="s">
        <v>9</v>
      </c>
      <c r="K2" s="33"/>
      <c r="L2" s="33"/>
    </row>
    <row r="3" spans="2:12" ht="30" customHeight="1">
      <c r="B3" s="11" t="s">
        <v>10</v>
      </c>
      <c r="C3" s="11" t="s">
        <v>11</v>
      </c>
      <c r="D3" s="11" t="s">
        <v>12</v>
      </c>
      <c r="E3" s="11" t="s">
        <v>13</v>
      </c>
      <c r="F3" s="11">
        <f ca="1">YEAR(TODAY())</f>
        <v>2026</v>
      </c>
      <c r="G3" s="11" t="s">
        <v>14</v>
      </c>
      <c r="H3" s="32">
        <v>0.58333333333333337</v>
      </c>
      <c r="I3" s="32">
        <v>0.64583333333333337</v>
      </c>
      <c r="J3" s="12">
        <f>IF(AND(ISNUMBER(ClassListTable[[#This Row],[TÉRMINO]]),ISNUMBER(ClassListTable[[#This Row],[INÍCIO]])),ClassListTable[[#This Row],[TÉRMINO]]-ClassListTable[[#This Row],[INÍCIO]],"")</f>
        <v>6.25E-2</v>
      </c>
      <c r="K3" s="33"/>
      <c r="L3" s="38"/>
    </row>
    <row r="4" spans="2:12" ht="30" customHeight="1">
      <c r="B4" s="11" t="s">
        <v>10</v>
      </c>
      <c r="C4" s="11" t="s">
        <v>11</v>
      </c>
      <c r="D4" s="11" t="s">
        <v>12</v>
      </c>
      <c r="E4" s="11" t="s">
        <v>15</v>
      </c>
      <c r="F4" s="11">
        <f t="shared" ref="F4:F9" ca="1" si="0">YEAR(TODAY())</f>
        <v>2026</v>
      </c>
      <c r="G4" s="11" t="s">
        <v>14</v>
      </c>
      <c r="H4" s="32">
        <v>0.58333333333333337</v>
      </c>
      <c r="I4" s="32">
        <v>0.64583333333333337</v>
      </c>
      <c r="J4" s="12">
        <f>IF(AND(ISNUMBER(ClassListTable[[#This Row],[TÉRMINO]]),ISNUMBER(ClassListTable[[#This Row],[INÍCIO]])),ClassListTable[[#This Row],[TÉRMINO]]-ClassListTable[[#This Row],[INÍCIO]],"")</f>
        <v>6.25E-2</v>
      </c>
      <c r="K4" s="33"/>
      <c r="L4" s="38"/>
    </row>
    <row r="5" spans="2:12" ht="30" customHeight="1">
      <c r="B5" s="11" t="s">
        <v>16</v>
      </c>
      <c r="C5" s="11" t="s">
        <v>17</v>
      </c>
      <c r="D5" s="11" t="s">
        <v>18</v>
      </c>
      <c r="E5" s="11" t="s">
        <v>19</v>
      </c>
      <c r="F5" s="11">
        <f t="shared" ca="1" si="0"/>
        <v>2026</v>
      </c>
      <c r="G5" s="11" t="s">
        <v>14</v>
      </c>
      <c r="H5" s="32">
        <v>0.41666666666666669</v>
      </c>
      <c r="I5" s="32">
        <v>0.47916666666666669</v>
      </c>
      <c r="J5" s="12">
        <f>IF(AND(ISNUMBER(ClassListTable[[#This Row],[TÉRMINO]]),ISNUMBER(ClassListTable[[#This Row],[INÍCIO]])),ClassListTable[[#This Row],[TÉRMINO]]-ClassListTable[[#This Row],[INÍCIO]],"")</f>
        <v>6.25E-2</v>
      </c>
      <c r="K5" s="33"/>
      <c r="L5" s="38"/>
    </row>
    <row r="6" spans="2:12" ht="30" customHeight="1">
      <c r="B6" s="11" t="s">
        <v>16</v>
      </c>
      <c r="C6" s="11" t="s">
        <v>17</v>
      </c>
      <c r="D6" s="11" t="s">
        <v>18</v>
      </c>
      <c r="E6" s="11" t="s">
        <v>20</v>
      </c>
      <c r="F6" s="11">
        <f t="shared" ca="1" si="0"/>
        <v>2026</v>
      </c>
      <c r="G6" s="11" t="s">
        <v>14</v>
      </c>
      <c r="H6" s="32">
        <v>0.41666666666666669</v>
      </c>
      <c r="I6" s="32">
        <v>0.47916666666666669</v>
      </c>
      <c r="J6" s="12">
        <f>IF(AND(ISNUMBER(ClassListTable[[#This Row],[TÉRMINO]]),ISNUMBER(ClassListTable[[#This Row],[INÍCIO]])),ClassListTable[[#This Row],[TÉRMINO]]-ClassListTable[[#This Row],[INÍCIO]],"")</f>
        <v>6.25E-2</v>
      </c>
      <c r="K6" s="33"/>
      <c r="L6" s="38"/>
    </row>
    <row r="7" spans="2:12" ht="30" customHeight="1">
      <c r="B7" s="11" t="s">
        <v>21</v>
      </c>
      <c r="C7" s="11" t="s">
        <v>22</v>
      </c>
      <c r="D7" s="11" t="s">
        <v>23</v>
      </c>
      <c r="E7" s="11" t="s">
        <v>24</v>
      </c>
      <c r="F7" s="11">
        <f t="shared" ca="1" si="0"/>
        <v>2026</v>
      </c>
      <c r="G7" s="11" t="s">
        <v>14</v>
      </c>
      <c r="H7" s="32">
        <v>0.45833333333333331</v>
      </c>
      <c r="I7" s="32">
        <v>0.5</v>
      </c>
      <c r="J7" s="12">
        <f>IF(AND(ISNUMBER(ClassListTable[[#This Row],[TÉRMINO]]),ISNUMBER(ClassListTable[[#This Row],[INÍCIO]])),ClassListTable[[#This Row],[TÉRMINO]]-ClassListTable[[#This Row],[INÍCIO]],"")</f>
        <v>4.1666666666666685E-2</v>
      </c>
      <c r="K7" s="33"/>
      <c r="L7" s="38"/>
    </row>
    <row r="8" spans="2:12" ht="30" customHeight="1">
      <c r="B8" s="11" t="s">
        <v>21</v>
      </c>
      <c r="C8" s="11" t="s">
        <v>22</v>
      </c>
      <c r="D8" s="11" t="s">
        <v>23</v>
      </c>
      <c r="E8" s="11" t="s">
        <v>25</v>
      </c>
      <c r="F8" s="11">
        <f t="shared" ca="1" si="0"/>
        <v>2026</v>
      </c>
      <c r="G8" s="11" t="s">
        <v>14</v>
      </c>
      <c r="H8" s="32">
        <v>0.45833333333333331</v>
      </c>
      <c r="I8" s="32">
        <v>0.5</v>
      </c>
      <c r="J8" s="12">
        <f>IF(AND(ISNUMBER(ClassListTable[[#This Row],[TÉRMINO]]),ISNUMBER(ClassListTable[[#This Row],[INÍCIO]])),ClassListTable[[#This Row],[TÉRMINO]]-ClassListTable[[#This Row],[INÍCIO]],"")</f>
        <v>4.1666666666666685E-2</v>
      </c>
      <c r="K8" s="33"/>
      <c r="L8" s="38"/>
    </row>
    <row r="9" spans="2:12" ht="30" customHeight="1">
      <c r="B9" s="11" t="s">
        <v>26</v>
      </c>
      <c r="C9" s="11" t="s">
        <v>27</v>
      </c>
      <c r="D9" s="11" t="s">
        <v>28</v>
      </c>
      <c r="E9" s="11" t="s">
        <v>29</v>
      </c>
      <c r="F9" s="11">
        <f t="shared" ca="1" si="0"/>
        <v>2026</v>
      </c>
      <c r="G9" s="11" t="s">
        <v>14</v>
      </c>
      <c r="H9" s="32">
        <v>0.41666666666666669</v>
      </c>
      <c r="I9" s="32">
        <v>0.45833333333333331</v>
      </c>
      <c r="J9" s="12">
        <f>IF(AND(ISNUMBER(ClassListTable[[#This Row],[TÉRMINO]]),ISNUMBER(ClassListTable[[#This Row],[INÍCIO]])),ClassListTable[[#This Row],[TÉRMINO]]-ClassListTable[[#This Row],[INÍCIO]],"")</f>
        <v>4.166666666666663E-2</v>
      </c>
      <c r="K9" s="33"/>
      <c r="L9" s="33"/>
    </row>
  </sheetData>
  <mergeCells count="2">
    <mergeCell ref="B1:J1"/>
    <mergeCell ref="L3:L8"/>
  </mergeCells>
  <dataValidations count="13">
    <dataValidation allowBlank="1" showInputMessage="1" showErrorMessage="1" prompt="Crie uma Lista de Aula nesta planilha. Insira detalhes na tabela Lista de Aulas. Insira prazos, cronograma semanal e calendário semestral em outras planilhas. Dicas na célula L3" sqref="A1" xr:uid="{00000000-0002-0000-0000-000000000000}"/>
    <dataValidation allowBlank="1" showInputMessage="1" showErrorMessage="1" prompt="O título desta planilha está nesta célula" sqref="B1:J1" xr:uid="{00000000-0002-0000-0000-000001000000}"/>
    <dataValidation allowBlank="1" showInputMessage="1" showErrorMessage="1" prompt="Insira a ID do Curso nesta coluna, abaixo deste título" sqref="B2" xr:uid="{00000000-0002-0000-0000-000002000000}"/>
    <dataValidation allowBlank="1" showInputMessage="1" showErrorMessage="1" prompt="Insira o Nome do Curso nesta coluna, abaixo deste título" sqref="C2" xr:uid="{00000000-0002-0000-0000-000003000000}"/>
    <dataValidation allowBlank="1" showInputMessage="1" showErrorMessage="1" prompt="Insira o nome do Instrutor nesta coluna, abaixo deste título" sqref="D2" xr:uid="{00000000-0002-0000-0000-000004000000}"/>
    <dataValidation allowBlank="1" showInputMessage="1" showErrorMessage="1" prompt="Insira o Dia na coluna, abaixo deste título" sqref="E2" xr:uid="{00000000-0002-0000-0000-000005000000}"/>
    <dataValidation allowBlank="1" showInputMessage="1" showErrorMessage="1" prompt="Insira o Ano na coluna, abaixo deste título" sqref="F2" xr:uid="{00000000-0002-0000-0000-000006000000}"/>
    <dataValidation allowBlank="1" showInputMessage="1" showErrorMessage="1" prompt="Selecione o nome do Semestre, abaixo deste título. Pressione Alt+Seta para baixo para ver as opções e, depois, Seta para baixo e Enter para selecionar " sqref="G2" xr:uid="{00000000-0002-0000-0000-000007000000}"/>
    <dataValidation allowBlank="1" showInputMessage="1" showErrorMessage="1" prompt="Insira Hora de Início nesta coluna, abaixo deste título" sqref="H2" xr:uid="{00000000-0002-0000-0000-000008000000}"/>
    <dataValidation allowBlank="1" showInputMessage="1" showErrorMessage="1" prompt="Insira a Hora de Término na coluna, abaixo deste título" sqref="I2" xr:uid="{00000000-0002-0000-0000-000009000000}"/>
    <dataValidation allowBlank="1" showInputMessage="1" showErrorMessage="1" prompt="A duração é calculada automaticamente nesta coluna sob esse título." sqref="J2" xr:uid="{00000000-0002-0000-0000-00000A000000}"/>
    <dataValidation type="list" errorStyle="warning" allowBlank="1" showInputMessage="1" showErrorMessage="1" error="Selecione o nome do Semestre na lista. Selecione Cancelar, pressione Alt+Seta para baixo para ver as opções e, depois, Seta para baixo e Enter para selecionar" sqref="G3:G9" xr:uid="{00000000-0002-0000-0000-00000B000000}">
      <formula1>"Outono,Inverno,Primavera,Verão"</formula1>
    </dataValidation>
    <dataValidation allowBlank="1" showInputMessage="1" showErrorMessage="1" prompt="DICA DE LISTA DE AULAS: _x000a__x000a_Digite suas aulas particulares nesta tabela. A duração da Aula é atualizada automaticamente." sqref="L3:L8" xr:uid="{00000000-0002-0000-0000-00000C000000}"/>
  </dataValidations>
  <printOptions horizontalCentered="1"/>
  <pageMargins left="0.25" right="0.25" top="0.75" bottom="0.75" header="0.3" footer="0.3"/>
  <pageSetup paperSize="9" scale="91" fitToHeight="0" orientation="landscape" r:id="rId1"/>
  <headerFooter differentFirst="1">
    <oddFooter>Page &amp;P of &amp;N</oddFooter>
  </headerFooter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4" tint="-0.249977111117893"/>
    <pageSetUpPr autoPageBreaks="0" fitToPage="1"/>
  </sheetPr>
  <dimension ref="B1:I9"/>
  <sheetViews>
    <sheetView showGridLines="0" zoomScaleNormal="100" workbookViewId="0"/>
  </sheetViews>
  <sheetFormatPr defaultRowHeight="30" customHeight="1"/>
  <cols>
    <col min="1" max="1" width="3.125" customWidth="1"/>
    <col min="2" max="2" width="15.25" style="5" customWidth="1"/>
    <col min="3" max="3" width="38.75" style="5" customWidth="1"/>
    <col min="4" max="4" width="8.75" style="5" customWidth="1"/>
    <col min="5" max="5" width="13.875" style="5" customWidth="1"/>
    <col min="6" max="6" width="28.75" style="5" customWidth="1"/>
    <col min="7" max="7" width="23.5" style="5" customWidth="1"/>
    <col min="8" max="8" width="3.5" customWidth="1"/>
    <col min="9" max="9" width="31.625" customWidth="1"/>
  </cols>
  <sheetData>
    <row r="1" spans="2:9" ht="50.25" customHeight="1">
      <c r="B1" s="37" t="s">
        <v>30</v>
      </c>
      <c r="C1" s="37"/>
      <c r="D1" s="37"/>
      <c r="E1" s="37"/>
      <c r="F1" s="37"/>
      <c r="G1" s="37"/>
      <c r="H1" s="33"/>
      <c r="I1" s="33"/>
    </row>
    <row r="2" spans="2:9" ht="30" customHeight="1">
      <c r="B2" s="7" t="s">
        <v>1</v>
      </c>
      <c r="C2" s="7" t="s">
        <v>2</v>
      </c>
      <c r="D2" s="7" t="s">
        <v>5</v>
      </c>
      <c r="E2" s="7" t="s">
        <v>6</v>
      </c>
      <c r="F2" s="7" t="s">
        <v>31</v>
      </c>
      <c r="G2" s="7" t="s">
        <v>32</v>
      </c>
      <c r="H2" s="33"/>
      <c r="I2" s="33"/>
    </row>
    <row r="3" spans="2:9" ht="30" customHeight="1">
      <c r="B3" s="11" t="s">
        <v>16</v>
      </c>
      <c r="C3" s="11" t="str">
        <f>IFERROR(VLOOKUP(Trabalho[[#This Row],[ID DO CURSO]],ClassListTable[],2,0),"")</f>
        <v>Composição Escrita</v>
      </c>
      <c r="D3" s="11">
        <f ca="1">YEAR(TODAY())</f>
        <v>2026</v>
      </c>
      <c r="E3" s="11" t="s">
        <v>14</v>
      </c>
      <c r="F3" s="11" t="s">
        <v>33</v>
      </c>
      <c r="G3" s="23">
        <f ca="1">DATE(YEAR(TODAY()),1,15)</f>
        <v>46037</v>
      </c>
      <c r="H3" s="33"/>
      <c r="I3" s="38"/>
    </row>
    <row r="4" spans="2:9" ht="30" customHeight="1">
      <c r="B4" s="11" t="s">
        <v>10</v>
      </c>
      <c r="C4" s="11" t="str">
        <f>IFERROR(VLOOKUP(Trabalho[[#This Row],[ID DO CURSO]],ClassListTable[],2,0),"")</f>
        <v>Introdução a Aplicativos de Computador</v>
      </c>
      <c r="D4" s="11">
        <f t="shared" ref="D4:D9" ca="1" si="0">YEAR(TODAY())</f>
        <v>2026</v>
      </c>
      <c r="E4" s="11" t="s">
        <v>14</v>
      </c>
      <c r="F4" s="11" t="s">
        <v>34</v>
      </c>
      <c r="G4" s="23">
        <f ca="1">DATE(YEAR(TODAY()),2,4)</f>
        <v>46057</v>
      </c>
      <c r="H4" s="33"/>
      <c r="I4" s="38"/>
    </row>
    <row r="5" spans="2:9" ht="30" customHeight="1">
      <c r="B5" s="11" t="s">
        <v>16</v>
      </c>
      <c r="C5" s="11" t="str">
        <f>IFERROR(VLOOKUP(Trabalho[[#This Row],[ID DO CURSO]],ClassListTable[],2,0),"")</f>
        <v>Composição Escrita</v>
      </c>
      <c r="D5" s="11">
        <f t="shared" ca="1" si="0"/>
        <v>2026</v>
      </c>
      <c r="E5" s="11" t="s">
        <v>14</v>
      </c>
      <c r="F5" s="11" t="s">
        <v>35</v>
      </c>
      <c r="G5" s="23">
        <f ca="1">DATE(YEAR(TODAY()),2,5)</f>
        <v>46058</v>
      </c>
      <c r="H5" s="33"/>
      <c r="I5" s="38"/>
    </row>
    <row r="6" spans="2:9" ht="30" customHeight="1">
      <c r="B6" s="11" t="s">
        <v>10</v>
      </c>
      <c r="C6" s="11" t="str">
        <f>IFERROR(VLOOKUP(Trabalho[[#This Row],[ID DO CURSO]],ClassListTable[],2,0),"")</f>
        <v>Introdução a Aplicativos de Computador</v>
      </c>
      <c r="D6" s="11">
        <f t="shared" ca="1" si="0"/>
        <v>2026</v>
      </c>
      <c r="E6" s="11" t="s">
        <v>14</v>
      </c>
      <c r="F6" s="11" t="s">
        <v>36</v>
      </c>
      <c r="G6" s="23">
        <f ca="1">DATE(YEAR(TODAY()),2,18)</f>
        <v>46071</v>
      </c>
      <c r="H6" s="33"/>
      <c r="I6" s="38"/>
    </row>
    <row r="7" spans="2:9" ht="30" customHeight="1">
      <c r="B7" s="11" t="s">
        <v>10</v>
      </c>
      <c r="C7" s="11" t="str">
        <f>IFERROR(VLOOKUP(Trabalho[[#This Row],[ID DO CURSO]],ClassListTable[],2,0),"")</f>
        <v>Introdução a Aplicativos de Computador</v>
      </c>
      <c r="D7" s="11">
        <f t="shared" ca="1" si="0"/>
        <v>2026</v>
      </c>
      <c r="E7" s="11" t="s">
        <v>14</v>
      </c>
      <c r="F7" s="11" t="s">
        <v>37</v>
      </c>
      <c r="G7" s="23">
        <f ca="1">DATE(YEAR(TODAY()),3,11)</f>
        <v>46092</v>
      </c>
      <c r="H7" s="33"/>
      <c r="I7" s="38"/>
    </row>
    <row r="8" spans="2:9" ht="30" customHeight="1">
      <c r="B8" s="11" t="s">
        <v>16</v>
      </c>
      <c r="C8" s="11" t="str">
        <f>IFERROR(VLOOKUP(Trabalho[[#This Row],[ID DO CURSO]],ClassListTable[],2,0),"")</f>
        <v>Composição Escrita</v>
      </c>
      <c r="D8" s="11">
        <f t="shared" ca="1" si="0"/>
        <v>2026</v>
      </c>
      <c r="E8" s="11" t="s">
        <v>14</v>
      </c>
      <c r="F8" s="11" t="s">
        <v>34</v>
      </c>
      <c r="G8" s="23">
        <f ca="1">DATE(YEAR(TODAY()),3,17)</f>
        <v>46098</v>
      </c>
      <c r="H8" s="33"/>
      <c r="I8" s="38"/>
    </row>
    <row r="9" spans="2:9" ht="30" customHeight="1">
      <c r="B9" s="11" t="s">
        <v>16</v>
      </c>
      <c r="C9" s="11" t="str">
        <f>IFERROR(VLOOKUP(Trabalho[[#This Row],[ID DO CURSO]],ClassListTable[],2,0),"")</f>
        <v>Composição Escrita</v>
      </c>
      <c r="D9" s="11">
        <f t="shared" ca="1" si="0"/>
        <v>2026</v>
      </c>
      <c r="E9" s="11" t="s">
        <v>14</v>
      </c>
      <c r="F9" s="11" t="s">
        <v>37</v>
      </c>
      <c r="G9" s="23">
        <f ca="1">DATE(YEAR(TODAY()),4,2)</f>
        <v>46114</v>
      </c>
      <c r="H9" s="33"/>
      <c r="I9" s="33"/>
    </row>
  </sheetData>
  <dataConsolidate/>
  <mergeCells count="2">
    <mergeCell ref="B1:G1"/>
    <mergeCell ref="I3:I8"/>
  </mergeCells>
  <dataValidations count="12">
    <dataValidation type="list" allowBlank="1" showInputMessage="1" sqref="B10:B1048576" xr:uid="{00000000-0002-0000-0100-000000000000}">
      <formula1>ListaDeAulas</formula1>
    </dataValidation>
    <dataValidation allowBlank="1" showInputMessage="1" showErrorMessage="1" prompt="Insira prazos na tabela de Trabalho nesta planilha. Dica está na célula I3_x000a_" sqref="A1" xr:uid="{00000000-0002-0000-0100-000001000000}"/>
    <dataValidation allowBlank="1" showInputMessage="1" showErrorMessage="1" prompt="O título desta planilha está nesta célula" sqref="B1:G1" xr:uid="{00000000-0002-0000-0100-000002000000}"/>
    <dataValidation allowBlank="1" showInputMessage="1" showErrorMessage="1" prompt="Selecione a ID do Curso na coluna abaixo deste título. Pressione Alt+Seta para baixo para ver as opções e, depois, Seta para baixo e Enter para selecionar. Use os filtros no título para encontrar as entradas específicas." sqref="B2" xr:uid="{00000000-0002-0000-0100-000003000000}"/>
    <dataValidation allowBlank="1" showInputMessage="1" showErrorMessage="1" prompt="O Nome do Curso é atualizado automaticamente na coluna abaixo deste título." sqref="C2" xr:uid="{00000000-0002-0000-0100-000004000000}"/>
    <dataValidation allowBlank="1" showInputMessage="1" showErrorMessage="1" prompt="Insira o Ano na coluna, abaixo deste título" sqref="D2" xr:uid="{00000000-0002-0000-0100-000005000000}"/>
    <dataValidation allowBlank="1" showInputMessage="1" showErrorMessage="1" prompt="Selecione o nome do Semestre na coluna abaixo deste título. Pressione Alt+Seta para baixo para ver as opções e, depois, Seta para baixo e Enter para escolher" sqref="E2" xr:uid="{00000000-0002-0000-0100-000006000000}"/>
    <dataValidation allowBlank="1" showInputMessage="1" showErrorMessage="1" prompt="Insira a Descrição do Item nesta coluna, abaixo deste título" sqref="F2" xr:uid="{00000000-0002-0000-0100-000007000000}"/>
    <dataValidation allowBlank="1" showInputMessage="1" showErrorMessage="1" prompt="Insira a Data de conclusão na coluna, abaixo deste título" sqref="G2" xr:uid="{00000000-0002-0000-0100-000008000000}"/>
    <dataValidation type="list" errorStyle="warning" allowBlank="1" showInputMessage="1" showErrorMessage="1" error="Selecione a ID do Curso na lista. Selecione Cancelar, pressione Alt+Seta para baixo para ver as opções e, depois, Seta para baixo e Enter para selecionar " sqref="B3:B9" xr:uid="{00000000-0002-0000-0100-000009000000}">
      <formula1>ListaDeAulas</formula1>
    </dataValidation>
    <dataValidation type="list" errorStyle="warning" allowBlank="1" showInputMessage="1" showErrorMessage="1" error="Selecione o nome do Semestre na lista. Selecione Cancelar, pressione Alt+Seta para baixo para ver as opções e, depois, Seta para baixo e Enter para selecionar" sqref="E3:E9" xr:uid="{00000000-0002-0000-0100-00000A000000}">
      <formula1>"Outono,Inverno,Primavera,Verão"</formula1>
    </dataValidation>
    <dataValidation allowBlank="1" showInputMessage="1" showErrorMessage="1" prompt="DICA DE ENTRADA DE DADOS DE TRABALHO: _x000a__x000a_Selecione um ID de Curso. O Nome do Curso é preenchido automaticamente. _x000a__x000a_Depois de atualizar a Planilha da Lista de Aulas, Atualize a Agenda Semanal para ver as alterações._x000a_" sqref="I3:I8" xr:uid="{00000000-0002-0000-0100-00000B000000}"/>
  </dataValidations>
  <printOptions horizontalCentered="1"/>
  <pageMargins left="0.25" right="0.25" top="0.75" bottom="0.75" header="0.3" footer="0.3"/>
  <pageSetup paperSize="9" fitToHeight="0" orientation="landscape" r:id="rId1"/>
  <headerFooter differentFirst="1">
    <oddFooter>Page &amp;P of &amp;N</oddFooter>
  </headerFooter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4" tint="0.39997558519241921"/>
    <pageSetUpPr autoPageBreaks="0" fitToPage="1"/>
  </sheetPr>
  <dimension ref="B1:F27"/>
  <sheetViews>
    <sheetView showGridLines="0" zoomScaleNormal="100" workbookViewId="0"/>
  </sheetViews>
  <sheetFormatPr defaultRowHeight="30" customHeight="1"/>
  <cols>
    <col min="1" max="1" width="3.125" customWidth="1"/>
    <col min="2" max="2" width="18.75" customWidth="1"/>
    <col min="3" max="3" width="15.5" style="6" customWidth="1"/>
    <col min="4" max="4" width="37.5" customWidth="1"/>
    <col min="5" max="5" width="3.5" customWidth="1"/>
    <col min="6" max="6" width="31.625" customWidth="1"/>
    <col min="7" max="9" width="32.875" customWidth="1"/>
  </cols>
  <sheetData>
    <row r="1" spans="2:6" ht="50.25" customHeight="1">
      <c r="B1" s="37" t="s">
        <v>38</v>
      </c>
      <c r="C1" s="37"/>
      <c r="D1" s="37"/>
      <c r="E1" s="33"/>
      <c r="F1" s="33"/>
    </row>
    <row r="2" spans="2:6" ht="16.5" customHeight="1">
      <c r="B2" s="31" t="s">
        <v>4</v>
      </c>
      <c r="C2" s="31" t="s">
        <v>7</v>
      </c>
      <c r="D2" s="31" t="s">
        <v>2</v>
      </c>
      <c r="E2" s="33"/>
      <c r="F2" s="33"/>
    </row>
    <row r="3" spans="2:6" ht="16.5" customHeight="1">
      <c r="B3" s="33" t="s">
        <v>13</v>
      </c>
      <c r="C3" s="34">
        <v>0.58333333333333337</v>
      </c>
      <c r="D3" s="33" t="s">
        <v>11</v>
      </c>
      <c r="E3" s="33"/>
      <c r="F3" s="38"/>
    </row>
    <row r="4" spans="2:6" ht="16.5" customHeight="1">
      <c r="B4" s="33" t="s">
        <v>19</v>
      </c>
      <c r="C4" s="34">
        <v>0.41666666666666669</v>
      </c>
      <c r="D4" s="33" t="s">
        <v>17</v>
      </c>
      <c r="E4" s="33"/>
      <c r="F4" s="38"/>
    </row>
    <row r="5" spans="2:6" ht="16.5" customHeight="1">
      <c r="B5" s="33" t="s">
        <v>15</v>
      </c>
      <c r="C5" s="34">
        <v>0.58333333333333337</v>
      </c>
      <c r="D5" s="33" t="s">
        <v>11</v>
      </c>
      <c r="E5" s="33"/>
      <c r="F5" s="38"/>
    </row>
    <row r="6" spans="2:6" ht="16.5" customHeight="1">
      <c r="B6" s="33" t="s">
        <v>29</v>
      </c>
      <c r="C6" s="34">
        <v>0.41666666666666669</v>
      </c>
      <c r="D6" s="33" t="s">
        <v>27</v>
      </c>
      <c r="E6" s="33"/>
      <c r="F6" s="38"/>
    </row>
    <row r="7" spans="2:6" ht="16.5" customHeight="1">
      <c r="B7" s="33" t="s">
        <v>25</v>
      </c>
      <c r="C7" s="34">
        <v>0.45833333333333331</v>
      </c>
      <c r="D7" s="33" t="s">
        <v>22</v>
      </c>
      <c r="E7" s="33"/>
      <c r="F7" s="38"/>
    </row>
    <row r="8" spans="2:6" ht="16.5" customHeight="1">
      <c r="B8" s="33" t="s">
        <v>20</v>
      </c>
      <c r="C8" s="34">
        <v>0.41666666666666669</v>
      </c>
      <c r="D8" s="33" t="s">
        <v>17</v>
      </c>
      <c r="E8" s="33"/>
      <c r="F8" s="38"/>
    </row>
    <row r="9" spans="2:6" ht="16.5" customHeight="1">
      <c r="B9" s="33" t="s">
        <v>24</v>
      </c>
      <c r="C9" s="34">
        <v>0.45833333333333331</v>
      </c>
      <c r="D9" s="33" t="s">
        <v>22</v>
      </c>
      <c r="E9" s="33"/>
      <c r="F9" s="33"/>
    </row>
    <row r="10" spans="2:6" ht="30" customHeight="1">
      <c r="B10" s="33"/>
      <c r="C10" s="33"/>
      <c r="D10" s="33"/>
      <c r="E10" s="33"/>
      <c r="F10" s="33"/>
    </row>
    <row r="11" spans="2:6" ht="30" customHeight="1">
      <c r="B11" s="33"/>
      <c r="C11" s="33"/>
      <c r="D11" s="33"/>
      <c r="E11" s="33"/>
      <c r="F11" s="33"/>
    </row>
    <row r="12" spans="2:6" ht="30" customHeight="1">
      <c r="B12" s="33"/>
      <c r="C12" s="33"/>
      <c r="D12" s="33"/>
      <c r="E12" s="33"/>
      <c r="F12" s="33"/>
    </row>
    <row r="13" spans="2:6" ht="30" customHeight="1">
      <c r="B13" s="33"/>
      <c r="C13" s="33"/>
      <c r="D13" s="33"/>
      <c r="E13" s="33"/>
      <c r="F13" s="33"/>
    </row>
    <row r="14" spans="2:6" ht="30" customHeight="1">
      <c r="B14" s="33"/>
      <c r="C14" s="33"/>
      <c r="D14" s="33"/>
      <c r="E14" s="33"/>
      <c r="F14" s="33"/>
    </row>
    <row r="15" spans="2:6" ht="30" customHeight="1">
      <c r="B15" s="33"/>
      <c r="C15" s="33"/>
      <c r="D15" s="33"/>
      <c r="E15" s="33"/>
      <c r="F15" s="33"/>
    </row>
    <row r="16" spans="2:6" ht="30" customHeight="1">
      <c r="B16" s="33"/>
      <c r="C16" s="33"/>
      <c r="D16" s="33"/>
      <c r="E16" s="33"/>
      <c r="F16" s="33"/>
    </row>
    <row r="17" spans="3:3" ht="30" customHeight="1">
      <c r="C17" s="33"/>
    </row>
    <row r="18" spans="3:3" ht="30" customHeight="1">
      <c r="C18" s="33"/>
    </row>
    <row r="19" spans="3:3" ht="30" customHeight="1">
      <c r="C19" s="33"/>
    </row>
    <row r="20" spans="3:3" ht="30" customHeight="1">
      <c r="C20" s="33"/>
    </row>
    <row r="21" spans="3:3" ht="30" customHeight="1">
      <c r="C21" s="33"/>
    </row>
    <row r="22" spans="3:3" ht="30" customHeight="1">
      <c r="C22" s="33"/>
    </row>
    <row r="23" spans="3:3" ht="30" customHeight="1">
      <c r="C23" s="33"/>
    </row>
    <row r="24" spans="3:3" ht="30" customHeight="1">
      <c r="C24" s="33"/>
    </row>
    <row r="25" spans="3:3" ht="30" customHeight="1">
      <c r="C25" s="33"/>
    </row>
    <row r="26" spans="3:3" ht="30" customHeight="1">
      <c r="C26" s="33"/>
    </row>
    <row r="27" spans="3:3" ht="30" customHeight="1">
      <c r="C27" s="33"/>
    </row>
  </sheetData>
  <mergeCells count="2">
    <mergeCell ref="B1:D1"/>
    <mergeCell ref="F3:F8"/>
  </mergeCells>
  <dataValidations count="3">
    <dataValidation allowBlank="1" showInputMessage="1" showErrorMessage="1" prompt="Crie um Cronograma Semanal nesta planilha. A Tabela Dinâmica que começa na célula B2 será atualizada automaticamente nessa planilha." sqref="A1" xr:uid="{00000000-0002-0000-0200-000000000000}"/>
    <dataValidation allowBlank="1" showInputMessage="1" showErrorMessage="1" prompt="O título desta planilha está nesta célula" sqref="B1:D1" xr:uid="{00000000-0002-0000-0200-000001000000}"/>
    <dataValidation allowBlank="1" showInputMessage="1" showErrorMessage="1" prompt="DICA DE AGENDA SEMANAL:_x000a__x000a_Para atualizar a sua agenda semanal, Atualize a agenda._x000a_" sqref="F3:F8" xr:uid="{00000000-0002-0000-0200-000002000000}"/>
  </dataValidations>
  <printOptions horizontalCentered="1"/>
  <pageMargins left="0.25" right="0.25" top="0.75" bottom="0.75" header="0.3" footer="0.3"/>
  <pageSetup paperSize="9" fitToHeight="0" orientation="landscape" r:id="rId2"/>
  <headerFooter differentFirst="1">
    <oddFooter>Page &amp;P of &amp;N</oddFooter>
  </headerFooter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theme="4" tint="0.39997558519241921"/>
    <pageSetUpPr autoPageBreaks="0" fitToPage="1"/>
  </sheetPr>
  <dimension ref="B1:S17"/>
  <sheetViews>
    <sheetView showGridLines="0" zoomScaleNormal="100" workbookViewId="0"/>
  </sheetViews>
  <sheetFormatPr defaultColWidth="9" defaultRowHeight="24.95" customHeight="1"/>
  <cols>
    <col min="1" max="1" width="3.5" customWidth="1"/>
    <col min="2" max="8" width="7.625" customWidth="1"/>
    <col min="9" max="9" width="2.625" customWidth="1"/>
    <col min="10" max="16" width="7.625" customWidth="1"/>
    <col min="17" max="17" width="1.625" customWidth="1"/>
    <col min="18" max="18" width="21.375" customWidth="1"/>
    <col min="19" max="19" width="31.625" customWidth="1"/>
  </cols>
  <sheetData>
    <row r="1" spans="2:19" ht="50.25" customHeight="1">
      <c r="B1" s="35" t="s">
        <v>39</v>
      </c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3"/>
      <c r="R1" s="33"/>
      <c r="S1" s="33"/>
    </row>
    <row r="2" spans="2:19" ht="29.25" customHeight="1">
      <c r="B2" s="36" t="str">
        <f ca="1">UPPER(TEXT(InícioCronograma,"MMMM"))</f>
        <v>JANEIRO</v>
      </c>
      <c r="C2" s="36"/>
      <c r="D2" s="27">
        <f ca="1">DAY(DATE(YEAR(InícioCronograma),MONTH(InícioCronograma)+1,1)-1)</f>
        <v>31</v>
      </c>
      <c r="E2" s="27">
        <f ca="1">WEEKDAY(DATE(YEAR(InícioCronograma),MONTH(InícioCronograma),1),1)</f>
        <v>5</v>
      </c>
      <c r="F2" s="1"/>
      <c r="G2" s="1"/>
      <c r="H2" s="1"/>
      <c r="I2" s="33"/>
      <c r="J2" s="36" t="str">
        <f ca="1">UPPER(TEXT(DATE(CronogramaAno,MONTH(InícioCronograma)+1,1),"MMMM"))</f>
        <v>FEVEREIRO</v>
      </c>
      <c r="K2" s="36"/>
      <c r="L2" s="28">
        <f ca="1">DAY(DATE(YEAR(InícioCronograma),MONTH(InícioCronograma)+2,1)-1)</f>
        <v>28</v>
      </c>
      <c r="M2" s="28">
        <f ca="1">WEEKDAY(DATE(YEAR(InícioCronograma),MONTH(InícioCronograma)+1,1),1)</f>
        <v>1</v>
      </c>
      <c r="N2" s="1"/>
      <c r="O2" s="1"/>
      <c r="P2" s="1"/>
      <c r="Q2" s="33"/>
      <c r="R2" s="1"/>
      <c r="S2" s="33"/>
    </row>
    <row r="3" spans="2:19" ht="29.25" customHeight="1">
      <c r="B3" s="8" t="s">
        <v>40</v>
      </c>
      <c r="C3" s="9" t="s">
        <v>41</v>
      </c>
      <c r="D3" s="9" t="s">
        <v>42</v>
      </c>
      <c r="E3" s="9" t="s">
        <v>43</v>
      </c>
      <c r="F3" s="9" t="s">
        <v>44</v>
      </c>
      <c r="G3" s="9" t="s">
        <v>45</v>
      </c>
      <c r="H3" s="10" t="s">
        <v>46</v>
      </c>
      <c r="I3" s="33"/>
      <c r="J3" s="8" t="s">
        <v>40</v>
      </c>
      <c r="K3" s="9" t="s">
        <v>41</v>
      </c>
      <c r="L3" s="9" t="s">
        <v>42</v>
      </c>
      <c r="M3" s="9" t="s">
        <v>43</v>
      </c>
      <c r="N3" s="9" t="s">
        <v>44</v>
      </c>
      <c r="O3" s="9" t="s">
        <v>45</v>
      </c>
      <c r="P3" s="10" t="s">
        <v>46</v>
      </c>
      <c r="Q3" s="33"/>
      <c r="R3" s="2" t="s">
        <v>5</v>
      </c>
      <c r="S3" s="33"/>
    </row>
    <row r="4" spans="2:19" ht="29.25" customHeight="1">
      <c r="B4" s="14" t="str">
        <f ca="1">IF($E$2=COLUMN(A$2),1,IF(A4&gt;0,A4+1,""))</f>
        <v/>
      </c>
      <c r="C4" s="15" t="str">
        <f t="shared" ref="C4:H4" ca="1" si="0">IF($E$2=COLUMN(B$2),1,IF(AND(B4&gt;0,B4&lt;&gt;""),B4+1,""))</f>
        <v/>
      </c>
      <c r="D4" s="15" t="str">
        <f t="shared" ca="1" si="0"/>
        <v/>
      </c>
      <c r="E4" s="15" t="str">
        <f t="shared" ca="1" si="0"/>
        <v/>
      </c>
      <c r="F4" s="15">
        <f t="shared" ca="1" si="0"/>
        <v>1</v>
      </c>
      <c r="G4" s="15">
        <f t="shared" ca="1" si="0"/>
        <v>2</v>
      </c>
      <c r="H4" s="16">
        <f t="shared" ca="1" si="0"/>
        <v>3</v>
      </c>
      <c r="I4" s="33"/>
      <c r="J4" s="14">
        <f ca="1">IF(M$2=COLUMN(A$2),1,IF(I4&gt;0,I4+1,""))</f>
        <v>1</v>
      </c>
      <c r="K4" s="15">
        <f ca="1">IF(M$2=COLUMN(B$2),1,IF(AND(J4&gt;0,J4&lt;&gt;""),J4+1,""))</f>
        <v>2</v>
      </c>
      <c r="L4" s="15">
        <f ca="1">IF(M$2=COLUMN(C$2),1,IF(AND(K4&gt;0,K4&lt;&gt;""),K4+1,""))</f>
        <v>3</v>
      </c>
      <c r="M4" s="15">
        <f ca="1">IF(M$2=COLUMN(D$2),1,IF(AND(L4&gt;0,L4&lt;&gt;""),L4+1,""))</f>
        <v>4</v>
      </c>
      <c r="N4" s="15">
        <f ca="1">IF(M$2=COLUMN(E$2),1,IF(AND(M4&gt;0,M4&lt;&gt;""),M4+1,""))</f>
        <v>5</v>
      </c>
      <c r="O4" s="15">
        <f ca="1">IF(M$2=COLUMN(F$2),1,IF(AND(N4&gt;0,N4&lt;&gt;""),N4+1,""))</f>
        <v>6</v>
      </c>
      <c r="P4" s="16">
        <f ca="1">IF(M$2=COLUMN(G$2),1,IF(AND(O4&gt;0,O4&lt;&gt;""),O4+1,""))</f>
        <v>7</v>
      </c>
      <c r="Q4" s="33"/>
      <c r="R4" s="3">
        <f ca="1">YEAR(TODAY())</f>
        <v>2026</v>
      </c>
      <c r="S4" s="38"/>
    </row>
    <row r="5" spans="2:19" ht="29.25" customHeight="1">
      <c r="B5" s="17">
        <f ca="1">H4+1</f>
        <v>4</v>
      </c>
      <c r="C5" s="18">
        <f ca="1">B5+1</f>
        <v>5</v>
      </c>
      <c r="D5" s="18">
        <f t="shared" ref="D5:H5" ca="1" si="1">C5+1</f>
        <v>6</v>
      </c>
      <c r="E5" s="18">
        <f t="shared" ca="1" si="1"/>
        <v>7</v>
      </c>
      <c r="F5" s="18">
        <f t="shared" ca="1" si="1"/>
        <v>8</v>
      </c>
      <c r="G5" s="18">
        <f t="shared" ca="1" si="1"/>
        <v>9</v>
      </c>
      <c r="H5" s="19">
        <f t="shared" ca="1" si="1"/>
        <v>10</v>
      </c>
      <c r="I5" s="33"/>
      <c r="J5" s="17">
        <f ca="1">P4+1</f>
        <v>8</v>
      </c>
      <c r="K5" s="18">
        <f t="shared" ref="K5:P7" ca="1" si="2">J5+1</f>
        <v>9</v>
      </c>
      <c r="L5" s="18">
        <f t="shared" ca="1" si="2"/>
        <v>10</v>
      </c>
      <c r="M5" s="18">
        <f t="shared" ca="1" si="2"/>
        <v>11</v>
      </c>
      <c r="N5" s="18">
        <f t="shared" ca="1" si="2"/>
        <v>12</v>
      </c>
      <c r="O5" s="18">
        <f t="shared" ca="1" si="2"/>
        <v>13</v>
      </c>
      <c r="P5" s="19">
        <f t="shared" ca="1" si="2"/>
        <v>14</v>
      </c>
      <c r="Q5" s="33"/>
      <c r="R5" s="2" t="s">
        <v>47</v>
      </c>
      <c r="S5" s="38"/>
    </row>
    <row r="6" spans="2:19" ht="29.25" customHeight="1">
      <c r="B6" s="17">
        <f t="shared" ref="B6:B7" ca="1" si="3">H5+1</f>
        <v>11</v>
      </c>
      <c r="C6" s="18">
        <f t="shared" ref="C6:H6" ca="1" si="4">B6+1</f>
        <v>12</v>
      </c>
      <c r="D6" s="18">
        <f t="shared" ca="1" si="4"/>
        <v>13</v>
      </c>
      <c r="E6" s="18">
        <f t="shared" ca="1" si="4"/>
        <v>14</v>
      </c>
      <c r="F6" s="18">
        <f t="shared" ca="1" si="4"/>
        <v>15</v>
      </c>
      <c r="G6" s="18">
        <f t="shared" ca="1" si="4"/>
        <v>16</v>
      </c>
      <c r="H6" s="19">
        <f t="shared" ca="1" si="4"/>
        <v>17</v>
      </c>
      <c r="I6" s="33"/>
      <c r="J6" s="17">
        <f ca="1">P5+1</f>
        <v>15</v>
      </c>
      <c r="K6" s="18">
        <f t="shared" ca="1" si="2"/>
        <v>16</v>
      </c>
      <c r="L6" s="18">
        <f t="shared" ca="1" si="2"/>
        <v>17</v>
      </c>
      <c r="M6" s="18">
        <f t="shared" ca="1" si="2"/>
        <v>18</v>
      </c>
      <c r="N6" s="18">
        <f t="shared" ca="1" si="2"/>
        <v>19</v>
      </c>
      <c r="O6" s="18">
        <f t="shared" ca="1" si="2"/>
        <v>20</v>
      </c>
      <c r="P6" s="19">
        <f t="shared" ca="1" si="2"/>
        <v>21</v>
      </c>
      <c r="Q6" s="33"/>
      <c r="R6" s="4">
        <f ca="1">DATE(YEAR(TODAY()),1,6)</f>
        <v>46028</v>
      </c>
      <c r="S6" s="38"/>
    </row>
    <row r="7" spans="2:19" ht="29.25" customHeight="1">
      <c r="B7" s="17">
        <f t="shared" ca="1" si="3"/>
        <v>18</v>
      </c>
      <c r="C7" s="18">
        <f t="shared" ref="C7:H7" ca="1" si="5">B7+1</f>
        <v>19</v>
      </c>
      <c r="D7" s="18">
        <f t="shared" ca="1" si="5"/>
        <v>20</v>
      </c>
      <c r="E7" s="18">
        <f t="shared" ca="1" si="5"/>
        <v>21</v>
      </c>
      <c r="F7" s="18">
        <f t="shared" ca="1" si="5"/>
        <v>22</v>
      </c>
      <c r="G7" s="18">
        <f t="shared" ca="1" si="5"/>
        <v>23</v>
      </c>
      <c r="H7" s="19">
        <f t="shared" ca="1" si="5"/>
        <v>24</v>
      </c>
      <c r="I7" s="33"/>
      <c r="J7" s="17">
        <f ca="1">P6+1</f>
        <v>22</v>
      </c>
      <c r="K7" s="18">
        <f t="shared" ca="1" si="2"/>
        <v>23</v>
      </c>
      <c r="L7" s="18">
        <f t="shared" ca="1" si="2"/>
        <v>24</v>
      </c>
      <c r="M7" s="18">
        <f t="shared" ca="1" si="2"/>
        <v>25</v>
      </c>
      <c r="N7" s="18">
        <f t="shared" ca="1" si="2"/>
        <v>26</v>
      </c>
      <c r="O7" s="18">
        <f t="shared" ca="1" si="2"/>
        <v>27</v>
      </c>
      <c r="P7" s="19">
        <f t="shared" ca="1" si="2"/>
        <v>28</v>
      </c>
      <c r="Q7" s="33"/>
      <c r="R7" s="2" t="s">
        <v>48</v>
      </c>
      <c r="S7" s="38"/>
    </row>
    <row r="8" spans="2:19" ht="29.25" customHeight="1">
      <c r="B8" s="17">
        <f ca="1">IFERROR(IF(H7+1&gt;$D$2,"",H7+1),"")</f>
        <v>25</v>
      </c>
      <c r="C8" s="18">
        <f t="shared" ref="C8:H9" ca="1" si="6">IFERROR(IF(B8+1&gt;$D$2,"",B8+1),"")</f>
        <v>26</v>
      </c>
      <c r="D8" s="18">
        <f t="shared" ca="1" si="6"/>
        <v>27</v>
      </c>
      <c r="E8" s="18">
        <f t="shared" ca="1" si="6"/>
        <v>28</v>
      </c>
      <c r="F8" s="18">
        <f t="shared" ca="1" si="6"/>
        <v>29</v>
      </c>
      <c r="G8" s="18">
        <f t="shared" ca="1" si="6"/>
        <v>30</v>
      </c>
      <c r="H8" s="19">
        <f t="shared" ca="1" si="6"/>
        <v>31</v>
      </c>
      <c r="I8" s="33"/>
      <c r="J8" s="17" t="str">
        <f ca="1">IFERROR(IF(P7+1&gt;L$2,"",P7+1),"")</f>
        <v/>
      </c>
      <c r="K8" s="18" t="str">
        <f ca="1">IFERROR(IF(J8+1&gt;L$2,"",J8+1),"")</f>
        <v/>
      </c>
      <c r="L8" s="18" t="str">
        <f ca="1">IFERROR(IF(K8+1&gt;L$2,"",K8+1),"")</f>
        <v/>
      </c>
      <c r="M8" s="18" t="str">
        <f ca="1">IFERROR(IF(L8+1&gt;L$2,"",L8+1),"")</f>
        <v/>
      </c>
      <c r="N8" s="18" t="str">
        <f ca="1">IFERROR(IF(M8+1&gt;L$2,"",M8+1),"")</f>
        <v/>
      </c>
      <c r="O8" s="18" t="str">
        <f ca="1">IFERROR(IF(N8+L$2,"",N8+1),"")</f>
        <v/>
      </c>
      <c r="P8" s="19" t="str">
        <f ca="1">IFERROR(IF(O8+1&gt;L$2,"",O8+1),"")</f>
        <v/>
      </c>
      <c r="Q8" s="33"/>
      <c r="R8" s="4">
        <f ca="1">DATE(YEAR(TODAY()),4,25)</f>
        <v>46137</v>
      </c>
      <c r="S8" s="38"/>
    </row>
    <row r="9" spans="2:19" ht="29.25" customHeight="1">
      <c r="B9" s="20" t="str">
        <f ca="1">IFERROR(IF(H8+1&gt;$D$2,"",H8+1),"")</f>
        <v/>
      </c>
      <c r="C9" s="21" t="str">
        <f t="shared" ca="1" si="6"/>
        <v/>
      </c>
      <c r="D9" s="21" t="str">
        <f t="shared" ca="1" si="6"/>
        <v/>
      </c>
      <c r="E9" s="21" t="str">
        <f t="shared" ca="1" si="6"/>
        <v/>
      </c>
      <c r="F9" s="21" t="str">
        <f t="shared" ca="1" si="6"/>
        <v/>
      </c>
      <c r="G9" s="21" t="str">
        <f t="shared" ca="1" si="6"/>
        <v/>
      </c>
      <c r="H9" s="22" t="str">
        <f t="shared" ca="1" si="6"/>
        <v/>
      </c>
      <c r="I9" s="33"/>
      <c r="J9" s="20" t="str">
        <f ca="1">IFERROR(IF(P8+1&gt;L$2,"",P8+1),"")</f>
        <v/>
      </c>
      <c r="K9" s="21" t="str">
        <f ca="1">IFERROR(IF(J9+1&gt;L$2,"",J9+1),"")</f>
        <v/>
      </c>
      <c r="L9" s="21" t="str">
        <f ca="1">IFERROR(IF(K9+1&gt;L$2,"",K9+1),"")</f>
        <v/>
      </c>
      <c r="M9" s="21" t="str">
        <f ca="1">IFERROR(IF(L9+1&gt;L$2,"",L9+1),"")</f>
        <v/>
      </c>
      <c r="N9" s="21" t="str">
        <f ca="1">IFERROR(IF(M9+1&gt;L$2,"",M9+1),"")</f>
        <v/>
      </c>
      <c r="O9" s="21" t="str">
        <f ca="1">IFERROR(IF(N9+1&gt;L$2,"",N9+1),"")</f>
        <v/>
      </c>
      <c r="P9" s="22" t="str">
        <f ca="1">IFERROR(IF(O9+L$2,"",O9+1),"")</f>
        <v/>
      </c>
      <c r="Q9" s="33"/>
      <c r="R9" s="33"/>
      <c r="S9" s="38"/>
    </row>
    <row r="10" spans="2:19" ht="29.25" customHeight="1">
      <c r="B10" s="30" t="str">
        <f ca="1">UPPER(TEXT(DATE(CronogramaAno,MONTH(InícioCronograma)+2,1),"MMMM"))</f>
        <v>MARÇO</v>
      </c>
      <c r="C10" s="30"/>
      <c r="D10" s="28">
        <f ca="1">DAY(DATE(YEAR(InícioCronograma),MONTH(InícioCronograma)+3,1)-1)</f>
        <v>31</v>
      </c>
      <c r="E10" s="28">
        <f ca="1">WEEKDAY(DATE(YEAR(InícioCronograma),MONTH(InícioCronograma)+2,1),1)</f>
        <v>1</v>
      </c>
      <c r="F10" s="24"/>
      <c r="G10" s="1"/>
      <c r="H10" s="1"/>
      <c r="I10" s="33"/>
      <c r="J10" s="30" t="str">
        <f ca="1">UPPER(TEXT(DATE(CronogramaAno,MONTH(InícioCronograma)+3,1),"MMMM"))</f>
        <v>ABRIL</v>
      </c>
      <c r="K10" s="30"/>
      <c r="L10" s="29">
        <f ca="1">DAY(DATE(YEAR(InícioCronograma),MONTH(InícioCronograma)+4,1)-1)</f>
        <v>30</v>
      </c>
      <c r="M10" s="29">
        <f ca="1">WEEKDAY(DATE(YEAR(InícioCronograma),MONTH(InícioCronograma)+3,1),1)</f>
        <v>4</v>
      </c>
      <c r="N10" s="1"/>
      <c r="O10" s="1"/>
      <c r="P10" s="1"/>
      <c r="Q10" s="33"/>
      <c r="R10" s="33"/>
      <c r="S10" s="33"/>
    </row>
    <row r="11" spans="2:19" ht="29.25" customHeight="1">
      <c r="B11" s="8" t="s">
        <v>40</v>
      </c>
      <c r="C11" s="9" t="s">
        <v>41</v>
      </c>
      <c r="D11" s="9" t="s">
        <v>42</v>
      </c>
      <c r="E11" s="9" t="s">
        <v>43</v>
      </c>
      <c r="F11" s="9" t="s">
        <v>44</v>
      </c>
      <c r="G11" s="9" t="s">
        <v>45</v>
      </c>
      <c r="H11" s="10" t="s">
        <v>46</v>
      </c>
      <c r="I11" s="33"/>
      <c r="J11" s="8" t="s">
        <v>40</v>
      </c>
      <c r="K11" s="9" t="s">
        <v>41</v>
      </c>
      <c r="L11" s="9" t="s">
        <v>42</v>
      </c>
      <c r="M11" s="9" t="s">
        <v>43</v>
      </c>
      <c r="N11" s="9" t="s">
        <v>44</v>
      </c>
      <c r="O11" s="9" t="s">
        <v>45</v>
      </c>
      <c r="P11" s="10" t="s">
        <v>46</v>
      </c>
      <c r="Q11" s="33"/>
      <c r="R11" s="33"/>
      <c r="S11" s="33"/>
    </row>
    <row r="12" spans="2:19" ht="29.25" customHeight="1">
      <c r="B12" s="14">
        <f ca="1">IF($E$10=COLUMN(A$2),1,IF(A12&gt;0,A12+1,""))</f>
        <v>1</v>
      </c>
      <c r="C12" s="15">
        <f ca="1">IF($E$10=COLUMN(B$2),1,IF(AND(B12&gt;0,B12&lt;&gt;""),B12+1,""))</f>
        <v>2</v>
      </c>
      <c r="D12" s="15">
        <f t="shared" ref="D12:H12" ca="1" si="7">IF($E$10=COLUMN(C$2),1,IF(AND(C12&gt;0,C12&lt;&gt;""),C12+1,""))</f>
        <v>3</v>
      </c>
      <c r="E12" s="15">
        <f t="shared" ca="1" si="7"/>
        <v>4</v>
      </c>
      <c r="F12" s="15">
        <f t="shared" ca="1" si="7"/>
        <v>5</v>
      </c>
      <c r="G12" s="15">
        <f t="shared" ca="1" si="7"/>
        <v>6</v>
      </c>
      <c r="H12" s="25">
        <f t="shared" ca="1" si="7"/>
        <v>7</v>
      </c>
      <c r="I12" s="26"/>
      <c r="J12" s="14" t="str">
        <f ca="1">IF($M$10=COLUMN(A$2),1,IF(I12&gt;0,I12+1,""))</f>
        <v/>
      </c>
      <c r="K12" s="15" t="str">
        <f ca="1">IF($M$10=COLUMN(B$2),1,IF(AND(J12&gt;0,J12&lt;&gt;""),J12+1,""))</f>
        <v/>
      </c>
      <c r="L12" s="15" t="str">
        <f t="shared" ref="L12:P12" ca="1" si="8">IF($M$10=COLUMN(C$2),1,IF(AND(K12&gt;0,K12&lt;&gt;""),K12+1,""))</f>
        <v/>
      </c>
      <c r="M12" s="15">
        <f t="shared" ca="1" si="8"/>
        <v>1</v>
      </c>
      <c r="N12" s="15">
        <f t="shared" ca="1" si="8"/>
        <v>2</v>
      </c>
      <c r="O12" s="15">
        <f t="shared" ca="1" si="8"/>
        <v>3</v>
      </c>
      <c r="P12" s="16">
        <f t="shared" ca="1" si="8"/>
        <v>4</v>
      </c>
      <c r="Q12" s="33"/>
      <c r="R12" s="33"/>
      <c r="S12" s="33"/>
    </row>
    <row r="13" spans="2:19" ht="29.25" customHeight="1">
      <c r="B13" s="17">
        <f ca="1">H12+1</f>
        <v>8</v>
      </c>
      <c r="C13" s="18">
        <f ca="1">B13+1</f>
        <v>9</v>
      </c>
      <c r="D13" s="18">
        <f t="shared" ref="D13:H13" ca="1" si="9">C13+1</f>
        <v>10</v>
      </c>
      <c r="E13" s="18">
        <f t="shared" ca="1" si="9"/>
        <v>11</v>
      </c>
      <c r="F13" s="18">
        <f t="shared" ca="1" si="9"/>
        <v>12</v>
      </c>
      <c r="G13" s="18">
        <f t="shared" ca="1" si="9"/>
        <v>13</v>
      </c>
      <c r="H13" s="19">
        <f t="shared" ca="1" si="9"/>
        <v>14</v>
      </c>
      <c r="I13" s="33"/>
      <c r="J13" s="17">
        <f ca="1">P12+1</f>
        <v>5</v>
      </c>
      <c r="K13" s="18">
        <f ca="1">J13+1</f>
        <v>6</v>
      </c>
      <c r="L13" s="18">
        <f t="shared" ref="L13:P13" ca="1" si="10">K13+1</f>
        <v>7</v>
      </c>
      <c r="M13" s="18">
        <f t="shared" ca="1" si="10"/>
        <v>8</v>
      </c>
      <c r="N13" s="18">
        <f t="shared" ca="1" si="10"/>
        <v>9</v>
      </c>
      <c r="O13" s="18">
        <f t="shared" ca="1" si="10"/>
        <v>10</v>
      </c>
      <c r="P13" s="19">
        <f t="shared" ca="1" si="10"/>
        <v>11</v>
      </c>
      <c r="Q13" s="33"/>
      <c r="R13" s="33"/>
      <c r="S13" s="33"/>
    </row>
    <row r="14" spans="2:19" ht="29.25" customHeight="1">
      <c r="B14" s="17">
        <f t="shared" ref="B14:B15" ca="1" si="11">H13+1</f>
        <v>15</v>
      </c>
      <c r="C14" s="18">
        <f t="shared" ref="C14:H14" ca="1" si="12">B14+1</f>
        <v>16</v>
      </c>
      <c r="D14" s="18">
        <f t="shared" ca="1" si="12"/>
        <v>17</v>
      </c>
      <c r="E14" s="18">
        <f t="shared" ca="1" si="12"/>
        <v>18</v>
      </c>
      <c r="F14" s="18">
        <f t="shared" ca="1" si="12"/>
        <v>19</v>
      </c>
      <c r="G14" s="18">
        <f t="shared" ca="1" si="12"/>
        <v>20</v>
      </c>
      <c r="H14" s="19">
        <f t="shared" ca="1" si="12"/>
        <v>21</v>
      </c>
      <c r="I14" s="33"/>
      <c r="J14" s="17">
        <f t="shared" ref="J14:J15" ca="1" si="13">P13+1</f>
        <v>12</v>
      </c>
      <c r="K14" s="18">
        <f t="shared" ref="K14:P14" ca="1" si="14">J14+1</f>
        <v>13</v>
      </c>
      <c r="L14" s="18">
        <f t="shared" ca="1" si="14"/>
        <v>14</v>
      </c>
      <c r="M14" s="18">
        <f t="shared" ca="1" si="14"/>
        <v>15</v>
      </c>
      <c r="N14" s="18">
        <f t="shared" ca="1" si="14"/>
        <v>16</v>
      </c>
      <c r="O14" s="18">
        <f t="shared" ca="1" si="14"/>
        <v>17</v>
      </c>
      <c r="P14" s="19">
        <f t="shared" ca="1" si="14"/>
        <v>18</v>
      </c>
      <c r="Q14" s="33"/>
      <c r="R14" s="33"/>
      <c r="S14" s="33"/>
    </row>
    <row r="15" spans="2:19" ht="29.25" customHeight="1">
      <c r="B15" s="17">
        <f t="shared" ca="1" si="11"/>
        <v>22</v>
      </c>
      <c r="C15" s="18">
        <f t="shared" ref="C15:H15" ca="1" si="15">B15+1</f>
        <v>23</v>
      </c>
      <c r="D15" s="18">
        <f t="shared" ca="1" si="15"/>
        <v>24</v>
      </c>
      <c r="E15" s="18">
        <f t="shared" ca="1" si="15"/>
        <v>25</v>
      </c>
      <c r="F15" s="18">
        <f t="shared" ca="1" si="15"/>
        <v>26</v>
      </c>
      <c r="G15" s="18">
        <f t="shared" ca="1" si="15"/>
        <v>27</v>
      </c>
      <c r="H15" s="19">
        <f t="shared" ca="1" si="15"/>
        <v>28</v>
      </c>
      <c r="I15" s="33"/>
      <c r="J15" s="17">
        <f t="shared" ca="1" si="13"/>
        <v>19</v>
      </c>
      <c r="K15" s="18">
        <f t="shared" ref="K15:P15" ca="1" si="16">J15+1</f>
        <v>20</v>
      </c>
      <c r="L15" s="18">
        <f t="shared" ca="1" si="16"/>
        <v>21</v>
      </c>
      <c r="M15" s="18">
        <f t="shared" ca="1" si="16"/>
        <v>22</v>
      </c>
      <c r="N15" s="18">
        <f t="shared" ca="1" si="16"/>
        <v>23</v>
      </c>
      <c r="O15" s="18">
        <f t="shared" ca="1" si="16"/>
        <v>24</v>
      </c>
      <c r="P15" s="19">
        <f t="shared" ca="1" si="16"/>
        <v>25</v>
      </c>
      <c r="Q15" s="33"/>
      <c r="R15" s="33"/>
      <c r="S15" s="33"/>
    </row>
    <row r="16" spans="2:19" ht="29.25" customHeight="1">
      <c r="B16" s="17">
        <f ca="1">IFERROR(IF(H15+1&gt;$D$10,"",H15+1),"")</f>
        <v>29</v>
      </c>
      <c r="C16" s="18">
        <f ca="1">IFERROR(IF(B16+1&gt;$D$10,"",B16+1),"")</f>
        <v>30</v>
      </c>
      <c r="D16" s="18">
        <f t="shared" ref="D16:H16" ca="1" si="17">IFERROR(IF(C16+1&gt;$D$10,"",C16+1),"")</f>
        <v>31</v>
      </c>
      <c r="E16" s="18" t="str">
        <f t="shared" ca="1" si="17"/>
        <v/>
      </c>
      <c r="F16" s="18" t="str">
        <f t="shared" ca="1" si="17"/>
        <v/>
      </c>
      <c r="G16" s="18" t="str">
        <f t="shared" ca="1" si="17"/>
        <v/>
      </c>
      <c r="H16" s="19" t="str">
        <f t="shared" ca="1" si="17"/>
        <v/>
      </c>
      <c r="I16" s="33"/>
      <c r="J16" s="17">
        <f ca="1">IFERROR(IF(P15+1&gt;$L$10,"",P15+1),"")</f>
        <v>26</v>
      </c>
      <c r="K16" s="18">
        <f ca="1">IFERROR(IF(J16+1&gt;$L$10,"",J16+1),"")</f>
        <v>27</v>
      </c>
      <c r="L16" s="18">
        <f t="shared" ref="L16:P16" ca="1" si="18">IFERROR(IF(K16+1&gt;$L$10,"",K16+1),"")</f>
        <v>28</v>
      </c>
      <c r="M16" s="18">
        <f t="shared" ca="1" si="18"/>
        <v>29</v>
      </c>
      <c r="N16" s="18">
        <f t="shared" ca="1" si="18"/>
        <v>30</v>
      </c>
      <c r="O16" s="18" t="str">
        <f t="shared" ca="1" si="18"/>
        <v/>
      </c>
      <c r="P16" s="19" t="str">
        <f t="shared" ca="1" si="18"/>
        <v/>
      </c>
      <c r="Q16" s="33"/>
      <c r="R16" s="33"/>
      <c r="S16" s="33"/>
    </row>
    <row r="17" spans="2:16" ht="29.25" customHeight="1">
      <c r="B17" s="20" t="str">
        <f ca="1">IFERROR(IF(H16+1&gt;$D$10,"",H16+1),"")</f>
        <v/>
      </c>
      <c r="C17" s="21" t="str">
        <f ca="1">IFERROR(IF(B17+1&gt;$D$10,"",B17+1),"")</f>
        <v/>
      </c>
      <c r="D17" s="21" t="str">
        <f t="shared" ref="D17:H17" ca="1" si="19">IFERROR(IF(C17+1&gt;$D$10,"",C17+1),"")</f>
        <v/>
      </c>
      <c r="E17" s="21" t="str">
        <f t="shared" ca="1" si="19"/>
        <v/>
      </c>
      <c r="F17" s="21" t="str">
        <f t="shared" ca="1" si="19"/>
        <v/>
      </c>
      <c r="G17" s="21" t="str">
        <f t="shared" ca="1" si="19"/>
        <v/>
      </c>
      <c r="H17" s="22" t="str">
        <f t="shared" ca="1" si="19"/>
        <v/>
      </c>
      <c r="I17" s="33"/>
      <c r="J17" s="20" t="str">
        <f ca="1">IFERROR(IF(P16+1&gt;$L$10,"",P16+1),"")</f>
        <v/>
      </c>
      <c r="K17" s="21" t="str">
        <f ca="1">IFERROR(IF(J17+1&gt;$L$10,"",J17+1),"")</f>
        <v/>
      </c>
      <c r="L17" s="21" t="str">
        <f t="shared" ref="L17:P17" ca="1" si="20">IFERROR(IF(K17+1&gt;$L$10,"",K17+1),"")</f>
        <v/>
      </c>
      <c r="M17" s="21" t="str">
        <f t="shared" ca="1" si="20"/>
        <v/>
      </c>
      <c r="N17" s="21" t="str">
        <f t="shared" ca="1" si="20"/>
        <v/>
      </c>
      <c r="O17" s="21" t="str">
        <f t="shared" ca="1" si="20"/>
        <v/>
      </c>
      <c r="P17" s="22" t="str">
        <f t="shared" ca="1" si="20"/>
        <v/>
      </c>
    </row>
  </sheetData>
  <mergeCells count="4">
    <mergeCell ref="S4:S9"/>
    <mergeCell ref="B1:P1"/>
    <mergeCell ref="B2:C2"/>
    <mergeCell ref="J2:K2"/>
  </mergeCells>
  <dataValidations xWindow="98" yWindow="315" count="23">
    <dataValidation allowBlank="1" showInputMessage="1" showErrorMessage="1" prompt="Crie um Calendário Semestral nesta planilha. Digite o ano na célula R4, a data de início na célula R6 e a data final na célula R8. Um calendário de quatro meses será atualizado automaticamente" sqref="A1" xr:uid="{00000000-0002-0000-0300-000000000000}"/>
    <dataValidation allowBlank="1" showInputMessage="1" showErrorMessage="1" prompt="Insira o Ano na célula abaixo" sqref="R3" xr:uid="{00000000-0002-0000-0300-000001000000}"/>
    <dataValidation allowBlank="1" showInputMessage="1" showErrorMessage="1" prompt="Insira o Ano nesta célula" sqref="R4" xr:uid="{00000000-0002-0000-0300-000002000000}"/>
    <dataValidation allowBlank="1" showInputMessage="1" showErrorMessage="1" prompt="Insira a Data de Início na célula abaixo" sqref="R5" xr:uid="{00000000-0002-0000-0300-000003000000}"/>
    <dataValidation allowBlank="1" showInputMessage="1" showErrorMessage="1" prompt="Insira a Data de Início nesta célula" sqref="R6" xr:uid="{00000000-0002-0000-0300-000004000000}"/>
    <dataValidation allowBlank="1" showInputMessage="1" showErrorMessage="1" prompt="Insira a Data de Término na célula abaixo" sqref="R7" xr:uid="{00000000-0002-0000-0300-000005000000}"/>
    <dataValidation allowBlank="1" showInputMessage="1" showErrorMessage="1" prompt="Insira a Data de Término nesta célula" sqref="R8" xr:uid="{00000000-0002-0000-0300-000006000000}"/>
    <dataValidation allowBlank="1" showInputMessage="1" showErrorMessage="1" prompt="Calendário do mês está nas células B3 a H9, abaixo. Próximo mês estão nas células J3 a P9. Terceiro mês está nas células B11 a H17. Quarto mês está nas células J11 a P17" sqref="B2:C2" xr:uid="{00000000-0002-0000-0300-000007000000}"/>
    <dataValidation allowBlank="1" showInputMessage="1" showErrorMessage="1" prompt="Os nomes dos dias da semana do mês acima estão nas células B3 a H3. Esta célula contém o primeiro dia da semana" sqref="B3" xr:uid="{00000000-0002-0000-0300-000008000000}"/>
    <dataValidation allowBlank="1" showInputMessage="1" showErrorMessage="1" prompt="Dias do calendário do mês são atualizados automaticamente nas células B4 a H9. Datas com prazos serão destacadas com cor RGB R=222, G=56, B=0  " sqref="B4" xr:uid="{00000000-0002-0000-0300-000009000000}"/>
    <dataValidation allowBlank="1" showInputMessage="1" showErrorMessage="1" prompt="Calendário deste mês estão nas células abaixo. Células J3 a P3 contêm nomes dos dias da semana para este calendário" sqref="J2:K2" xr:uid="{00000000-0002-0000-0300-00000A000000}"/>
    <dataValidation allowBlank="1" showInputMessage="1" showErrorMessage="1" prompt="Os nomes dos dias da semana do mês acima estão nas células J11 a P11. Esta célula contém o primeiro dia da semana" sqref="J11" xr:uid="{00000000-0002-0000-0300-00000B000000}"/>
    <dataValidation allowBlank="1" showInputMessage="1" showErrorMessage="1" prompt="Dias do calendário do mês são atualizados automaticamente nas células J4 a P9. Datas com prazos serão destacadas com cor RGB R=222, G=56, B=0  " sqref="J4" xr:uid="{00000000-0002-0000-0300-00000C000000}"/>
    <dataValidation allowBlank="1" showInputMessage="1" showErrorMessage="1" prompt="Calendário deste mês estão nas células abaixo. Células B11 a H11 contêm nomes dos dias da semana para este calendário" sqref="B10:C10" xr:uid="{00000000-0002-0000-0300-00000D000000}"/>
    <dataValidation allowBlank="1" showInputMessage="1" showErrorMessage="1" prompt="Dias do calendário do mês são atualizados automaticamente nas células B12 a H17. Datas com prazos serão destacadas com cor RGB R=222, G=56, B=0  " sqref="B12" xr:uid="{00000000-0002-0000-0300-00000E000000}"/>
    <dataValidation allowBlank="1" showInputMessage="1" showErrorMessage="1" prompt="Calendário deste mês estão nas células abaixo. Células J11 a P11 contêm nomes dos dias da semana para este calendário_x000a_" sqref="J10:K10" xr:uid="{00000000-0002-0000-0300-00000F000000}"/>
    <dataValidation allowBlank="1" showInputMessage="1" showErrorMessage="1" prompt="Dias do calendário do mês são atualizados automaticamente nas células J12 a P17. Datas com prazos serão destacadas com cor RGB R=222, G=56, B=0" sqref="J12" xr:uid="{00000000-0002-0000-0300-000010000000}"/>
    <dataValidation allowBlank="1" showInputMessage="1" showErrorMessage="1" prompt="DICA DE CALENDÁRIO SEMESTRAL:_x000a__x000a_Digite o Ano, a Data de Início e a Data de Término para exibir um cronograma de quatro meses._x000a__x000a_Os Dias com prazos finais são exibidos em R=222, G=56, B=0" sqref="S4:S9" xr:uid="{00000000-0002-0000-0300-000011000000}"/>
    <dataValidation allowBlank="1" showInputMessage="1" showErrorMessage="1" prompt="A fórmula para gerar determinados dias em um mês está nesta célula. Não exclua esse conteúdo" sqref="D2 L2 D10 L10" xr:uid="{00000000-0002-0000-0300-000012000000}"/>
    <dataValidation allowBlank="1" showInputMessage="1" showErrorMessage="1" prompt="A fórmula para gerar semanas em um mês está nesta célula. Não exclua esse conteúdo" sqref="E2 M2 E10 M10" xr:uid="{00000000-0002-0000-0300-000013000000}"/>
    <dataValidation allowBlank="1" showInputMessage="1" showErrorMessage="1" prompt="Título desta planilha está nessa célula. Um calendário de quatro meses está nas células abaixo. Dica está na célula S4" sqref="B1:P1" xr:uid="{00000000-0002-0000-0300-000014000000}"/>
    <dataValidation allowBlank="1" showInputMessage="1" showErrorMessage="1" prompt="Os nomes dos dias da semana do mês acima estão nas células J3 a P3. Esta célula contém o primeiro dia da semana" sqref="J3" xr:uid="{00000000-0002-0000-0300-000015000000}"/>
    <dataValidation allowBlank="1" showInputMessage="1" showErrorMessage="1" prompt="Os nomes dos dias da semana do mês acima estão nas células B11 a H11. Esta célula contém o primeiro dia da semana" sqref="B11" xr:uid="{00000000-0002-0000-0300-000016000000}"/>
  </dataValidations>
  <printOptions horizontalCentered="1"/>
  <pageMargins left="0.25" right="0.25" top="0.75" bottom="0.75" header="0.3" footer="0.3"/>
  <pageSetup paperSize="9" fitToHeight="0" orientation="landscape" r:id="rId1"/>
  <headerFooter differentFirst="1">
    <oddFooter>Page &amp;P of &amp;N</oddFooter>
  </headerFooter>
  <ignoredErrors>
    <ignoredError sqref="I4:J4 B4:H4 K4:P4 B12:H12 J12:P12" emptyCellReference="1"/>
  </ignoredError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06" id="{AF716392-6C16-49A1-B40C-1257678D6450}">
            <xm:f>(B12&lt;&gt;"")*(DATEVALUE(B12&amp;"- "&amp;$B$10&amp;" "&amp;$R$4)&gt;=$R$6)*(DATEVALUE(B12&amp;"- "&amp;$B$10&amp;" "&amp;$R$4)&lt;=$R$8)*(MATCH(DATEVALUE(B12&amp;"- "&amp;$B$10&amp;" "&amp;$R$4),Prazos!$G:$G,0)&gt;0)</xm:f>
            <x14:dxf>
              <font>
                <b/>
                <i/>
                <color theme="4"/>
              </font>
            </x14:dxf>
          </x14:cfRule>
          <xm:sqref>B12:H17</xm:sqref>
        </x14:conditionalFormatting>
        <x14:conditionalFormatting xmlns:xm="http://schemas.microsoft.com/office/excel/2006/main">
          <x14:cfRule type="expression" priority="108" id="{83BB8D5E-7B5C-4566-A802-24F8F2D1A463}">
            <xm:f>(J12&lt;&gt;"")*(DATEVALUE(J12&amp;"- "&amp;$J$10&amp;" "&amp;$R$4)&gt;=$R$6)*(DATEVALUE(J12&amp;"- "&amp;$J$10&amp;" "&amp;$R$4)&lt;=$R$8)*(MATCH(DATEVALUE(J12&amp;"- "&amp;$J$10&amp;" "&amp;$R$4),Prazos!$G:$G,0)&gt;0)</xm:f>
            <x14:dxf>
              <font>
                <b/>
                <i/>
                <color theme="4"/>
              </font>
            </x14:dxf>
          </x14:cfRule>
          <xm:sqref>J12:P17</xm:sqref>
        </x14:conditionalFormatting>
        <x14:conditionalFormatting xmlns:xm="http://schemas.microsoft.com/office/excel/2006/main">
          <x14:cfRule type="expression" priority="110" id="{6A42FF6F-2BB9-43AE-A8E1-70BD9879AB95}">
            <xm:f>(B4&lt;&gt;"")*(DATEVALUE(B4&amp;"- "&amp;$B$2&amp;" "&amp;$R$4)&gt;=$R$6)*(DATEVALUE(B4&amp;"- "&amp;$B$2&amp;" "&amp;$R$4)&lt;=$R$8)*(MATCH(DATEVALUE(B4&amp;"- "&amp;$B$2&amp;" "&amp;$R$4),Prazos!$G:$G,0))</xm:f>
            <x14:dxf>
              <font>
                <b/>
                <i/>
                <color theme="4"/>
              </font>
            </x14:dxf>
          </x14:cfRule>
          <xm:sqref>B4:H9</xm:sqref>
        </x14:conditionalFormatting>
        <x14:conditionalFormatting xmlns:xm="http://schemas.microsoft.com/office/excel/2006/main">
          <x14:cfRule type="expression" priority="112" id="{25F2C936-614F-4406-9635-03B2F39A7B7A}">
            <xm:f>(J4&lt;&gt;"")*(DATEVALUE(J4&amp;"- "&amp;$J$2&amp;" "&amp;$R$4)&gt;=$R$6)*(DATEVALUE(J4&amp;"- "&amp;$J$2&amp;" "&amp;$R$4)&lt;=$R$8)*(MATCH(DATEVALUE(J4&amp;"- "&amp;$J$2&amp;" "&amp;$R$4),Prazos!$G:$G,0)&gt;0)</xm:f>
            <x14:dxf>
              <font>
                <b/>
                <i/>
                <color theme="4"/>
              </font>
            </x14:dxf>
          </x14:cfRule>
          <xm:sqref>J4:P9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4" ma:contentTypeDescription="Create a new document." ma:contentTypeScope="" ma:versionID="2d714a3296df14eba7a100bb665443ca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49549bf45bfbbfb6cffed527380e77e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B8D37F9-D62B-4815-907A-02DDD8BB106B}"/>
</file>

<file path=customXml/itemProps2.xml><?xml version="1.0" encoding="utf-8"?>
<ds:datastoreItem xmlns:ds="http://schemas.openxmlformats.org/officeDocument/2006/customXml" ds:itemID="{3E08457E-664A-40F5-843D-D6A20B1CAED6}"/>
</file>

<file path=customXml/itemProps3.xml><?xml version="1.0" encoding="utf-8"?>
<ds:datastoreItem xmlns:ds="http://schemas.openxmlformats.org/officeDocument/2006/customXml" ds:itemID="{E56C416A-3885-43F8-B9C8-4AF67CFD9890}"/>
</file>

<file path=docProps/app.xml><?xml version="1.0" encoding="utf-8"?>
<Properties xmlns="http://schemas.openxmlformats.org/officeDocument/2006/extended-properties" xmlns:vt="http://schemas.openxmlformats.org/officeDocument/2006/docPropsVTypes">
  <Template>TM03987055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2022-02-14T06:34:13Z</dcterms:created>
  <dcterms:modified xsi:type="dcterms:W3CDTF">2026-05-01T00:16:21Z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